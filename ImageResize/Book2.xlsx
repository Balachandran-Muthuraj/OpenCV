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\OneDrive\Desktop\"/>
    </mc:Choice>
  </mc:AlternateContent>
  <xr:revisionPtr revIDLastSave="0" documentId="8_{F714AAFD-7973-4460-8DCB-B19CB9C0F6AD}" xr6:coauthVersionLast="47" xr6:coauthVersionMax="47" xr10:uidLastSave="{00000000-0000-0000-0000-000000000000}"/>
  <bookViews>
    <workbookView xWindow="-120" yWindow="-120" windowWidth="29040" windowHeight="15720" activeTab="1" xr2:uid="{A0995752-ED06-4915-AD67-D76B17E43808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" i="2" l="1"/>
  <c r="D206" i="2"/>
  <c r="C206" i="2"/>
  <c r="B206" i="2"/>
  <c r="A206" i="2"/>
  <c r="K206" i="2" s="1"/>
  <c r="G206" i="2" s="1"/>
  <c r="H206" i="2" s="1"/>
  <c r="J206" i="2" s="1"/>
  <c r="K205" i="2"/>
  <c r="G205" i="2"/>
  <c r="H205" i="2" s="1"/>
  <c r="J205" i="2" s="1"/>
  <c r="E205" i="2"/>
  <c r="D205" i="2"/>
  <c r="C205" i="2"/>
  <c r="B205" i="2"/>
  <c r="A205" i="2"/>
  <c r="K204" i="2"/>
  <c r="G204" i="2" s="1"/>
  <c r="H204" i="2" s="1"/>
  <c r="J204" i="2"/>
  <c r="E204" i="2"/>
  <c r="D204" i="2"/>
  <c r="C204" i="2"/>
  <c r="B204" i="2"/>
  <c r="A204" i="2"/>
  <c r="E203" i="2"/>
  <c r="D203" i="2"/>
  <c r="C203" i="2"/>
  <c r="B203" i="2"/>
  <c r="A203" i="2"/>
  <c r="K203" i="2" s="1"/>
  <c r="G203" i="2" s="1"/>
  <c r="H203" i="2" s="1"/>
  <c r="J203" i="2" s="1"/>
  <c r="K202" i="2"/>
  <c r="G202" i="2"/>
  <c r="H202" i="2" s="1"/>
  <c r="J202" i="2" s="1"/>
  <c r="E202" i="2"/>
  <c r="D202" i="2"/>
  <c r="C202" i="2"/>
  <c r="B202" i="2"/>
  <c r="A202" i="2"/>
  <c r="E201" i="2"/>
  <c r="D201" i="2"/>
  <c r="C201" i="2"/>
  <c r="B201" i="2"/>
  <c r="A201" i="2"/>
  <c r="K201" i="2" s="1"/>
  <c r="G201" i="2" s="1"/>
  <c r="H201" i="2" s="1"/>
  <c r="J201" i="2" s="1"/>
  <c r="B200" i="2"/>
  <c r="A200" i="2"/>
  <c r="K199" i="2"/>
  <c r="G199" i="2"/>
  <c r="H199" i="2" s="1"/>
  <c r="J199" i="2" s="1"/>
  <c r="E199" i="2"/>
  <c r="D199" i="2"/>
  <c r="C199" i="2"/>
  <c r="B199" i="2"/>
  <c r="A199" i="2"/>
  <c r="H198" i="2"/>
  <c r="J198" i="2" s="1"/>
  <c r="E198" i="2"/>
  <c r="D198" i="2"/>
  <c r="C198" i="2"/>
  <c r="B198" i="2"/>
  <c r="A198" i="2"/>
  <c r="K198" i="2" s="1"/>
  <c r="G198" i="2" s="1"/>
  <c r="K197" i="2"/>
  <c r="G197" i="2" s="1"/>
  <c r="H197" i="2"/>
  <c r="J197" i="2" s="1"/>
  <c r="E197" i="2"/>
  <c r="D197" i="2"/>
  <c r="C197" i="2"/>
  <c r="B197" i="2"/>
  <c r="A197" i="2"/>
  <c r="G196" i="2"/>
  <c r="E196" i="2"/>
  <c r="D196" i="2"/>
  <c r="C196" i="2"/>
  <c r="B196" i="2"/>
  <c r="A196" i="2"/>
  <c r="K196" i="2" s="1"/>
  <c r="B195" i="2"/>
  <c r="A195" i="2"/>
  <c r="K194" i="2"/>
  <c r="G194" i="2"/>
  <c r="H194" i="2" s="1"/>
  <c r="J194" i="2" s="1"/>
  <c r="E194" i="2"/>
  <c r="D194" i="2"/>
  <c r="C194" i="2"/>
  <c r="B194" i="2"/>
  <c r="A194" i="2"/>
  <c r="B193" i="2"/>
  <c r="A193" i="2"/>
  <c r="G192" i="2"/>
  <c r="H192" i="2" s="1"/>
  <c r="J192" i="2" s="1"/>
  <c r="E192" i="2"/>
  <c r="D192" i="2"/>
  <c r="C192" i="2"/>
  <c r="B192" i="2"/>
  <c r="A192" i="2"/>
  <c r="K192" i="2" s="1"/>
  <c r="K191" i="2"/>
  <c r="G191" i="2"/>
  <c r="H191" i="2" s="1"/>
  <c r="J191" i="2" s="1"/>
  <c r="E191" i="2"/>
  <c r="D191" i="2"/>
  <c r="C191" i="2"/>
  <c r="B191" i="2"/>
  <c r="A191" i="2"/>
  <c r="E190" i="2"/>
  <c r="D190" i="2"/>
  <c r="C190" i="2"/>
  <c r="B190" i="2"/>
  <c r="A190" i="2"/>
  <c r="K190" i="2" s="1"/>
  <c r="G190" i="2" s="1"/>
  <c r="H190" i="2" s="1"/>
  <c r="J190" i="2" s="1"/>
  <c r="K189" i="2"/>
  <c r="G189" i="2"/>
  <c r="H189" i="2" s="1"/>
  <c r="J189" i="2" s="1"/>
  <c r="E189" i="2"/>
  <c r="D189" i="2"/>
  <c r="C189" i="2"/>
  <c r="B189" i="2"/>
  <c r="A189" i="2"/>
  <c r="E188" i="2"/>
  <c r="D188" i="2"/>
  <c r="C188" i="2"/>
  <c r="B188" i="2"/>
  <c r="A188" i="2"/>
  <c r="K188" i="2" s="1"/>
  <c r="G188" i="2" s="1"/>
  <c r="H188" i="2" s="1"/>
  <c r="J188" i="2" s="1"/>
  <c r="E187" i="2"/>
  <c r="D187" i="2"/>
  <c r="C187" i="2"/>
  <c r="B187" i="2"/>
  <c r="A187" i="2"/>
  <c r="K187" i="2" s="1"/>
  <c r="G187" i="2" s="1"/>
  <c r="H187" i="2" s="1"/>
  <c r="J187" i="2" s="1"/>
  <c r="K186" i="2"/>
  <c r="G186" i="2" s="1"/>
  <c r="H186" i="2" s="1"/>
  <c r="J186" i="2" s="1"/>
  <c r="E186" i="2"/>
  <c r="D186" i="2"/>
  <c r="C186" i="2"/>
  <c r="B186" i="2"/>
  <c r="A186" i="2"/>
  <c r="K185" i="2"/>
  <c r="G185" i="2"/>
  <c r="H185" i="2" s="1"/>
  <c r="J185" i="2" s="1"/>
  <c r="E185" i="2"/>
  <c r="D185" i="2"/>
  <c r="C185" i="2"/>
  <c r="B185" i="2"/>
  <c r="A185" i="2"/>
  <c r="K184" i="2"/>
  <c r="G184" i="2" s="1"/>
  <c r="H184" i="2"/>
  <c r="J184" i="2" s="1"/>
  <c r="E184" i="2"/>
  <c r="D184" i="2"/>
  <c r="C184" i="2"/>
  <c r="B184" i="2"/>
  <c r="A184" i="2"/>
  <c r="E183" i="2"/>
  <c r="D183" i="2"/>
  <c r="C183" i="2"/>
  <c r="B183" i="2"/>
  <c r="A183" i="2"/>
  <c r="K183" i="2" s="1"/>
  <c r="G183" i="2" s="1"/>
  <c r="H183" i="2" s="1"/>
  <c r="J183" i="2" s="1"/>
  <c r="K182" i="2"/>
  <c r="G182" i="2"/>
  <c r="H182" i="2" s="1"/>
  <c r="J182" i="2" s="1"/>
  <c r="E182" i="2"/>
  <c r="D182" i="2"/>
  <c r="C182" i="2"/>
  <c r="B182" i="2"/>
  <c r="A182" i="2"/>
  <c r="G181" i="2"/>
  <c r="H181" i="2" s="1"/>
  <c r="J181" i="2" s="1"/>
  <c r="E181" i="2"/>
  <c r="D181" i="2"/>
  <c r="C181" i="2"/>
  <c r="B181" i="2"/>
  <c r="A181" i="2"/>
  <c r="K181" i="2" s="1"/>
  <c r="K180" i="2"/>
  <c r="G180" i="2"/>
  <c r="H180" i="2" s="1"/>
  <c r="J180" i="2" s="1"/>
  <c r="E180" i="2"/>
  <c r="D180" i="2"/>
  <c r="C180" i="2"/>
  <c r="B180" i="2"/>
  <c r="A180" i="2"/>
  <c r="E179" i="2"/>
  <c r="D179" i="2"/>
  <c r="C179" i="2"/>
  <c r="B179" i="2"/>
  <c r="A179" i="2"/>
  <c r="K179" i="2" s="1"/>
  <c r="G179" i="2" s="1"/>
  <c r="H179" i="2" s="1"/>
  <c r="J179" i="2" s="1"/>
  <c r="K178" i="2"/>
  <c r="G178" i="2" s="1"/>
  <c r="H178" i="2" s="1"/>
  <c r="J178" i="2"/>
  <c r="E178" i="2"/>
  <c r="D178" i="2"/>
  <c r="C178" i="2"/>
  <c r="B178" i="2"/>
  <c r="A178" i="2"/>
  <c r="E177" i="2"/>
  <c r="D177" i="2"/>
  <c r="C177" i="2"/>
  <c r="B177" i="2"/>
  <c r="A177" i="2"/>
  <c r="K177" i="2" s="1"/>
  <c r="G177" i="2" s="1"/>
  <c r="H177" i="2" s="1"/>
  <c r="J177" i="2" s="1"/>
  <c r="K176" i="2"/>
  <c r="G176" i="2"/>
  <c r="H176" i="2" s="1"/>
  <c r="J176" i="2" s="1"/>
  <c r="E176" i="2"/>
  <c r="D176" i="2"/>
  <c r="C176" i="2"/>
  <c r="B176" i="2"/>
  <c r="A176" i="2"/>
  <c r="K175" i="2"/>
  <c r="G175" i="2" s="1"/>
  <c r="H175" i="2" s="1"/>
  <c r="J175" i="2"/>
  <c r="E175" i="2"/>
  <c r="D175" i="2"/>
  <c r="C175" i="2"/>
  <c r="B175" i="2"/>
  <c r="A175" i="2"/>
  <c r="K174" i="2"/>
  <c r="G174" i="2" s="1"/>
  <c r="H174" i="2" s="1"/>
  <c r="J174" i="2" s="1"/>
  <c r="E174" i="2"/>
  <c r="D174" i="2"/>
  <c r="C174" i="2"/>
  <c r="B174" i="2"/>
  <c r="A174" i="2"/>
  <c r="K173" i="2"/>
  <c r="G173" i="2" s="1"/>
  <c r="H173" i="2"/>
  <c r="J173" i="2" s="1"/>
  <c r="E173" i="2"/>
  <c r="D173" i="2"/>
  <c r="C173" i="2"/>
  <c r="B173" i="2"/>
  <c r="A173" i="2"/>
  <c r="G172" i="2"/>
  <c r="H172" i="2" s="1"/>
  <c r="J172" i="2" s="1"/>
  <c r="E172" i="2"/>
  <c r="D172" i="2"/>
  <c r="C172" i="2"/>
  <c r="B172" i="2"/>
  <c r="A172" i="2"/>
  <c r="K172" i="2" s="1"/>
  <c r="B171" i="2"/>
  <c r="A171" i="2"/>
  <c r="K170" i="2"/>
  <c r="G170" i="2"/>
  <c r="H170" i="2" s="1"/>
  <c r="J170" i="2" s="1"/>
  <c r="E170" i="2"/>
  <c r="D170" i="2"/>
  <c r="C170" i="2"/>
  <c r="B170" i="2"/>
  <c r="A170" i="2"/>
  <c r="G169" i="2"/>
  <c r="E169" i="2"/>
  <c r="D169" i="2"/>
  <c r="C169" i="2"/>
  <c r="B169" i="2"/>
  <c r="A169" i="2"/>
  <c r="K169" i="2" s="1"/>
  <c r="K168" i="2"/>
  <c r="G168" i="2"/>
  <c r="H168" i="2" s="1"/>
  <c r="J168" i="2" s="1"/>
  <c r="E168" i="2"/>
  <c r="D168" i="2"/>
  <c r="C168" i="2"/>
  <c r="B168" i="2"/>
  <c r="A168" i="2"/>
  <c r="E167" i="2"/>
  <c r="D167" i="2"/>
  <c r="C167" i="2"/>
  <c r="B167" i="2"/>
  <c r="A167" i="2"/>
  <c r="K167" i="2" s="1"/>
  <c r="G167" i="2" s="1"/>
  <c r="H167" i="2" s="1"/>
  <c r="J167" i="2" s="1"/>
  <c r="K166" i="2"/>
  <c r="G166" i="2"/>
  <c r="H166" i="2" s="1"/>
  <c r="J166" i="2" s="1"/>
  <c r="E166" i="2"/>
  <c r="D166" i="2"/>
  <c r="C166" i="2"/>
  <c r="B166" i="2"/>
  <c r="A166" i="2"/>
  <c r="E165" i="2"/>
  <c r="D165" i="2"/>
  <c r="C165" i="2"/>
  <c r="B165" i="2"/>
  <c r="A165" i="2"/>
  <c r="K165" i="2" s="1"/>
  <c r="G165" i="2" s="1"/>
  <c r="H165" i="2" s="1"/>
  <c r="J165" i="2" s="1"/>
  <c r="B164" i="2"/>
  <c r="A164" i="2"/>
  <c r="K163" i="2"/>
  <c r="G163" i="2"/>
  <c r="E163" i="2"/>
  <c r="D163" i="2"/>
  <c r="C163" i="2"/>
  <c r="B163" i="2"/>
  <c r="A163" i="2"/>
  <c r="E162" i="2"/>
  <c r="D162" i="2"/>
  <c r="C162" i="2"/>
  <c r="B162" i="2"/>
  <c r="A162" i="2"/>
  <c r="K162" i="2" s="1"/>
  <c r="G162" i="2" s="1"/>
  <c r="H162" i="2" s="1"/>
  <c r="J162" i="2" s="1"/>
  <c r="K161" i="2"/>
  <c r="H161" i="2"/>
  <c r="J161" i="2" s="1"/>
  <c r="G161" i="2"/>
  <c r="E161" i="2"/>
  <c r="D161" i="2"/>
  <c r="C161" i="2"/>
  <c r="B161" i="2"/>
  <c r="A161" i="2"/>
  <c r="K160" i="2"/>
  <c r="G160" i="2" s="1"/>
  <c r="H160" i="2" s="1"/>
  <c r="J160" i="2" s="1"/>
  <c r="E160" i="2"/>
  <c r="D160" i="2"/>
  <c r="C160" i="2"/>
  <c r="B160" i="2"/>
  <c r="A160" i="2"/>
  <c r="B159" i="2"/>
  <c r="A159" i="2"/>
  <c r="K158" i="2"/>
  <c r="G158" i="2"/>
  <c r="E158" i="2"/>
  <c r="D158" i="2"/>
  <c r="C158" i="2"/>
  <c r="B158" i="2"/>
  <c r="A158" i="2"/>
  <c r="E157" i="2"/>
  <c r="D157" i="2"/>
  <c r="C157" i="2"/>
  <c r="B157" i="2"/>
  <c r="A157" i="2"/>
  <c r="K157" i="2" s="1"/>
  <c r="G157" i="2" s="1"/>
  <c r="H157" i="2" s="1"/>
  <c r="J157" i="2" s="1"/>
  <c r="K156" i="2"/>
  <c r="G156" i="2" s="1"/>
  <c r="H156" i="2" s="1"/>
  <c r="J156" i="2"/>
  <c r="E156" i="2"/>
  <c r="D156" i="2"/>
  <c r="C156" i="2"/>
  <c r="B156" i="2"/>
  <c r="A156" i="2"/>
  <c r="K155" i="2"/>
  <c r="G155" i="2" s="1"/>
  <c r="H155" i="2"/>
  <c r="J155" i="2" s="1"/>
  <c r="E155" i="2"/>
  <c r="D155" i="2"/>
  <c r="C155" i="2"/>
  <c r="B155" i="2"/>
  <c r="A155" i="2"/>
  <c r="G154" i="2"/>
  <c r="H154" i="2" s="1"/>
  <c r="J154" i="2" s="1"/>
  <c r="E154" i="2"/>
  <c r="D154" i="2"/>
  <c r="C154" i="2"/>
  <c r="B154" i="2"/>
  <c r="A154" i="2"/>
  <c r="K154" i="2" s="1"/>
  <c r="K153" i="2"/>
  <c r="G153" i="2"/>
  <c r="H153" i="2" s="1"/>
  <c r="J153" i="2" s="1"/>
  <c r="E153" i="2"/>
  <c r="D153" i="2"/>
  <c r="C153" i="2"/>
  <c r="B153" i="2"/>
  <c r="A153" i="2"/>
  <c r="E152" i="2"/>
  <c r="D152" i="2"/>
  <c r="C152" i="2"/>
  <c r="B152" i="2"/>
  <c r="A152" i="2"/>
  <c r="K152" i="2" s="1"/>
  <c r="G152" i="2" s="1"/>
  <c r="H152" i="2" s="1"/>
  <c r="J152" i="2" s="1"/>
  <c r="K151" i="2"/>
  <c r="G151" i="2" s="1"/>
  <c r="H151" i="2" s="1"/>
  <c r="J151" i="2" s="1"/>
  <c r="E151" i="2"/>
  <c r="D151" i="2"/>
  <c r="C151" i="2"/>
  <c r="B151" i="2"/>
  <c r="A151" i="2"/>
  <c r="E150" i="2"/>
  <c r="D150" i="2"/>
  <c r="C150" i="2"/>
  <c r="B150" i="2"/>
  <c r="A150" i="2"/>
  <c r="K150" i="2" s="1"/>
  <c r="G150" i="2" s="1"/>
  <c r="K149" i="2"/>
  <c r="G149" i="2"/>
  <c r="E149" i="2"/>
  <c r="D149" i="2"/>
  <c r="C149" i="2"/>
  <c r="B149" i="2"/>
  <c r="A149" i="2"/>
  <c r="E148" i="2"/>
  <c r="D148" i="2"/>
  <c r="C148" i="2"/>
  <c r="B148" i="2"/>
  <c r="A148" i="2"/>
  <c r="K148" i="2" s="1"/>
  <c r="G148" i="2" s="1"/>
  <c r="H148" i="2" s="1"/>
  <c r="J148" i="2" s="1"/>
  <c r="K147" i="2"/>
  <c r="G147" i="2"/>
  <c r="H147" i="2" s="1"/>
  <c r="J147" i="2" s="1"/>
  <c r="E147" i="2"/>
  <c r="D147" i="2"/>
  <c r="C147" i="2"/>
  <c r="B147" i="2"/>
  <c r="A147" i="2"/>
  <c r="K146" i="2"/>
  <c r="G146" i="2" s="1"/>
  <c r="H146" i="2" s="1"/>
  <c r="J146" i="2"/>
  <c r="E146" i="2"/>
  <c r="D146" i="2"/>
  <c r="C146" i="2"/>
  <c r="B146" i="2"/>
  <c r="A146" i="2"/>
  <c r="B145" i="2"/>
  <c r="A145" i="2"/>
  <c r="B144" i="2"/>
  <c r="A144" i="2"/>
  <c r="K143" i="2"/>
  <c r="G143" i="2"/>
  <c r="H143" i="2" s="1"/>
  <c r="J143" i="2" s="1"/>
  <c r="E143" i="2"/>
  <c r="D143" i="2"/>
  <c r="C143" i="2"/>
  <c r="B143" i="2"/>
  <c r="A143" i="2"/>
  <c r="E142" i="2"/>
  <c r="D142" i="2"/>
  <c r="C142" i="2"/>
  <c r="B142" i="2"/>
  <c r="A142" i="2"/>
  <c r="K142" i="2" s="1"/>
  <c r="G142" i="2" s="1"/>
  <c r="H142" i="2" s="1"/>
  <c r="J142" i="2" s="1"/>
  <c r="E141" i="2"/>
  <c r="D141" i="2"/>
  <c r="C141" i="2"/>
  <c r="B141" i="2"/>
  <c r="A141" i="2"/>
  <c r="K141" i="2" s="1"/>
  <c r="G141" i="2" s="1"/>
  <c r="H141" i="2" s="1"/>
  <c r="J141" i="2" s="1"/>
  <c r="K140" i="2"/>
  <c r="G140" i="2" s="1"/>
  <c r="H140" i="2" s="1"/>
  <c r="J140" i="2"/>
  <c r="E140" i="2"/>
  <c r="D140" i="2"/>
  <c r="C140" i="2"/>
  <c r="B140" i="2"/>
  <c r="A140" i="2"/>
  <c r="K139" i="2"/>
  <c r="H139" i="2"/>
  <c r="J139" i="2" s="1"/>
  <c r="G139" i="2"/>
  <c r="E139" i="2"/>
  <c r="D139" i="2"/>
  <c r="C139" i="2"/>
  <c r="B139" i="2"/>
  <c r="A139" i="2"/>
  <c r="K138" i="2"/>
  <c r="G138" i="2"/>
  <c r="H138" i="2" s="1"/>
  <c r="J138" i="2" s="1"/>
  <c r="E138" i="2"/>
  <c r="D138" i="2"/>
  <c r="C138" i="2"/>
  <c r="B138" i="2"/>
  <c r="A138" i="2"/>
  <c r="G137" i="2"/>
  <c r="E137" i="2"/>
  <c r="D137" i="2"/>
  <c r="C137" i="2"/>
  <c r="B137" i="2"/>
  <c r="A137" i="2"/>
  <c r="K137" i="2" s="1"/>
  <c r="K136" i="2"/>
  <c r="G136" i="2"/>
  <c r="H136" i="2" s="1"/>
  <c r="J136" i="2" s="1"/>
  <c r="E136" i="2"/>
  <c r="D136" i="2"/>
  <c r="C136" i="2"/>
  <c r="B136" i="2"/>
  <c r="A136" i="2"/>
  <c r="E135" i="2"/>
  <c r="D135" i="2"/>
  <c r="C135" i="2"/>
  <c r="B135" i="2"/>
  <c r="A135" i="2"/>
  <c r="K135" i="2" s="1"/>
  <c r="G135" i="2" s="1"/>
  <c r="H135" i="2" s="1"/>
  <c r="J135" i="2" s="1"/>
  <c r="K134" i="2"/>
  <c r="G134" i="2"/>
  <c r="H134" i="2" s="1"/>
  <c r="J134" i="2" s="1"/>
  <c r="E134" i="2"/>
  <c r="D134" i="2"/>
  <c r="C134" i="2"/>
  <c r="B134" i="2"/>
  <c r="A134" i="2"/>
  <c r="E133" i="2"/>
  <c r="D133" i="2"/>
  <c r="C133" i="2"/>
  <c r="B133" i="2"/>
  <c r="A133" i="2"/>
  <c r="K133" i="2" s="1"/>
  <c r="G133" i="2" s="1"/>
  <c r="H133" i="2" s="1"/>
  <c r="J133" i="2" s="1"/>
  <c r="K132" i="2"/>
  <c r="G132" i="2" s="1"/>
  <c r="H132" i="2" s="1"/>
  <c r="J132" i="2"/>
  <c r="E132" i="2"/>
  <c r="D132" i="2"/>
  <c r="C132" i="2"/>
  <c r="B132" i="2"/>
  <c r="A132" i="2"/>
  <c r="K131" i="2"/>
  <c r="G131" i="2" s="1"/>
  <c r="H131" i="2" s="1"/>
  <c r="J131" i="2" s="1"/>
  <c r="E131" i="2"/>
  <c r="D131" i="2"/>
  <c r="C131" i="2"/>
  <c r="B131" i="2"/>
  <c r="A131" i="2"/>
  <c r="K130" i="2"/>
  <c r="G130" i="2"/>
  <c r="H130" i="2" s="1"/>
  <c r="J130" i="2" s="1"/>
  <c r="E130" i="2"/>
  <c r="D130" i="2"/>
  <c r="C130" i="2"/>
  <c r="B130" i="2"/>
  <c r="A130" i="2"/>
  <c r="K129" i="2"/>
  <c r="G129" i="2" s="1"/>
  <c r="H129" i="2"/>
  <c r="J129" i="2" s="1"/>
  <c r="E129" i="2"/>
  <c r="D129" i="2"/>
  <c r="C129" i="2"/>
  <c r="B129" i="2"/>
  <c r="A129" i="2"/>
  <c r="B128" i="2"/>
  <c r="A128" i="2"/>
  <c r="K127" i="2"/>
  <c r="G127" i="2"/>
  <c r="E127" i="2"/>
  <c r="D127" i="2"/>
  <c r="C127" i="2"/>
  <c r="B127" i="2"/>
  <c r="A127" i="2"/>
  <c r="K126" i="2"/>
  <c r="G126" i="2" s="1"/>
  <c r="H126" i="2"/>
  <c r="J126" i="2" s="1"/>
  <c r="E126" i="2"/>
  <c r="D126" i="2"/>
  <c r="C126" i="2"/>
  <c r="B126" i="2"/>
  <c r="A126" i="2"/>
  <c r="E125" i="2"/>
  <c r="D125" i="2"/>
  <c r="C125" i="2"/>
  <c r="B125" i="2"/>
  <c r="A125" i="2"/>
  <c r="K125" i="2" s="1"/>
  <c r="G125" i="2" s="1"/>
  <c r="H125" i="2" s="1"/>
  <c r="J125" i="2" s="1"/>
  <c r="K124" i="2"/>
  <c r="G124" i="2" s="1"/>
  <c r="H124" i="2"/>
  <c r="J124" i="2" s="1"/>
  <c r="E124" i="2"/>
  <c r="D124" i="2"/>
  <c r="C124" i="2"/>
  <c r="B124" i="2"/>
  <c r="A124" i="2"/>
  <c r="G123" i="2"/>
  <c r="H123" i="2" s="1"/>
  <c r="J123" i="2" s="1"/>
  <c r="E123" i="2"/>
  <c r="D123" i="2"/>
  <c r="C123" i="2"/>
  <c r="B123" i="2"/>
  <c r="A123" i="2"/>
  <c r="K123" i="2" s="1"/>
  <c r="K122" i="2"/>
  <c r="G122" i="2"/>
  <c r="H122" i="2" s="1"/>
  <c r="J122" i="2" s="1"/>
  <c r="E122" i="2"/>
  <c r="D122" i="2"/>
  <c r="C122" i="2"/>
  <c r="B122" i="2"/>
  <c r="A122" i="2"/>
  <c r="E121" i="2"/>
  <c r="D121" i="2"/>
  <c r="C121" i="2"/>
  <c r="B121" i="2"/>
  <c r="A121" i="2"/>
  <c r="K121" i="2" s="1"/>
  <c r="G121" i="2" s="1"/>
  <c r="H121" i="2" s="1"/>
  <c r="J121" i="2" s="1"/>
  <c r="K120" i="2"/>
  <c r="G120" i="2" s="1"/>
  <c r="H120" i="2" s="1"/>
  <c r="J120" i="2" s="1"/>
  <c r="E120" i="2"/>
  <c r="D120" i="2"/>
  <c r="C120" i="2"/>
  <c r="B120" i="2"/>
  <c r="A120" i="2"/>
  <c r="E119" i="2"/>
  <c r="D119" i="2"/>
  <c r="C119" i="2"/>
  <c r="B119" i="2"/>
  <c r="A119" i="2"/>
  <c r="K119" i="2" s="1"/>
  <c r="G119" i="2" s="1"/>
  <c r="H119" i="2" s="1"/>
  <c r="J119" i="2" s="1"/>
  <c r="E118" i="2"/>
  <c r="D118" i="2"/>
  <c r="C118" i="2"/>
  <c r="B118" i="2"/>
  <c r="A118" i="2"/>
  <c r="K118" i="2" s="1"/>
  <c r="G118" i="2" s="1"/>
  <c r="H118" i="2" s="1"/>
  <c r="J118" i="2" s="1"/>
  <c r="K117" i="2"/>
  <c r="G117" i="2" s="1"/>
  <c r="H117" i="2" s="1"/>
  <c r="J117" i="2"/>
  <c r="E117" i="2"/>
  <c r="D117" i="2"/>
  <c r="C117" i="2"/>
  <c r="B117" i="2"/>
  <c r="A117" i="2"/>
  <c r="K116" i="2"/>
  <c r="G116" i="2"/>
  <c r="H116" i="2" s="1"/>
  <c r="J116" i="2" s="1"/>
  <c r="E116" i="2"/>
  <c r="D116" i="2"/>
  <c r="C116" i="2"/>
  <c r="B116" i="2"/>
  <c r="A116" i="2"/>
  <c r="K115" i="2"/>
  <c r="G115" i="2"/>
  <c r="H115" i="2" s="1"/>
  <c r="J115" i="2" s="1"/>
  <c r="E115" i="2"/>
  <c r="D115" i="2"/>
  <c r="C115" i="2"/>
  <c r="B115" i="2"/>
  <c r="A115" i="2"/>
  <c r="G114" i="2"/>
  <c r="E114" i="2"/>
  <c r="D114" i="2"/>
  <c r="C114" i="2"/>
  <c r="B114" i="2"/>
  <c r="A114" i="2"/>
  <c r="K114" i="2" s="1"/>
  <c r="K113" i="2"/>
  <c r="G113" i="2"/>
  <c r="H113" i="2" s="1"/>
  <c r="J113" i="2" s="1"/>
  <c r="E113" i="2"/>
  <c r="D113" i="2"/>
  <c r="C113" i="2"/>
  <c r="B113" i="2"/>
  <c r="A113" i="2"/>
  <c r="E112" i="2"/>
  <c r="D112" i="2"/>
  <c r="C112" i="2"/>
  <c r="B112" i="2"/>
  <c r="A112" i="2"/>
  <c r="K112" i="2" s="1"/>
  <c r="G112" i="2" s="1"/>
  <c r="H112" i="2" s="1"/>
  <c r="J112" i="2" s="1"/>
  <c r="K111" i="2"/>
  <c r="G111" i="2"/>
  <c r="H111" i="2" s="1"/>
  <c r="J111" i="2" s="1"/>
  <c r="E111" i="2"/>
  <c r="D111" i="2"/>
  <c r="C111" i="2"/>
  <c r="B111" i="2"/>
  <c r="A111" i="2"/>
  <c r="E110" i="2"/>
  <c r="D110" i="2"/>
  <c r="C110" i="2"/>
  <c r="B110" i="2"/>
  <c r="A110" i="2"/>
  <c r="K110" i="2" s="1"/>
  <c r="G110" i="2" s="1"/>
  <c r="H110" i="2" s="1"/>
  <c r="J110" i="2" s="1"/>
  <c r="B109" i="2"/>
  <c r="A109" i="2"/>
  <c r="K108" i="2"/>
  <c r="G108" i="2"/>
  <c r="E108" i="2"/>
  <c r="D108" i="2"/>
  <c r="C108" i="2"/>
  <c r="B108" i="2"/>
  <c r="A108" i="2"/>
  <c r="E107" i="2"/>
  <c r="D107" i="2"/>
  <c r="C107" i="2"/>
  <c r="B107" i="2"/>
  <c r="A107" i="2"/>
  <c r="K107" i="2" s="1"/>
  <c r="G107" i="2" s="1"/>
  <c r="H107" i="2" s="1"/>
  <c r="J107" i="2" s="1"/>
  <c r="K106" i="2"/>
  <c r="G106" i="2"/>
  <c r="H106" i="2" s="1"/>
  <c r="J106" i="2" s="1"/>
  <c r="E106" i="2"/>
  <c r="D106" i="2"/>
  <c r="C106" i="2"/>
  <c r="B106" i="2"/>
  <c r="A106" i="2"/>
  <c r="E105" i="2"/>
  <c r="D105" i="2"/>
  <c r="C105" i="2"/>
  <c r="B105" i="2"/>
  <c r="A105" i="2"/>
  <c r="K105" i="2" s="1"/>
  <c r="G105" i="2" s="1"/>
  <c r="H105" i="2" s="1"/>
  <c r="J105" i="2" s="1"/>
  <c r="E104" i="2"/>
  <c r="D104" i="2"/>
  <c r="C104" i="2"/>
  <c r="B104" i="2"/>
  <c r="A104" i="2"/>
  <c r="K104" i="2" s="1"/>
  <c r="G104" i="2" s="1"/>
  <c r="H104" i="2" s="1"/>
  <c r="J104" i="2" s="1"/>
  <c r="K103" i="2"/>
  <c r="G103" i="2" s="1"/>
  <c r="H103" i="2"/>
  <c r="J103" i="2" s="1"/>
  <c r="E103" i="2"/>
  <c r="D103" i="2"/>
  <c r="C103" i="2"/>
  <c r="B103" i="2"/>
  <c r="A103" i="2"/>
  <c r="G102" i="2"/>
  <c r="H102" i="2" s="1"/>
  <c r="J102" i="2" s="1"/>
  <c r="E102" i="2"/>
  <c r="D102" i="2"/>
  <c r="C102" i="2"/>
  <c r="B102" i="2"/>
  <c r="A102" i="2"/>
  <c r="K102" i="2" s="1"/>
  <c r="K101" i="2"/>
  <c r="G101" i="2"/>
  <c r="H101" i="2" s="1"/>
  <c r="J101" i="2" s="1"/>
  <c r="E101" i="2"/>
  <c r="D101" i="2"/>
  <c r="C101" i="2"/>
  <c r="B101" i="2"/>
  <c r="A101" i="2"/>
  <c r="E100" i="2"/>
  <c r="D100" i="2"/>
  <c r="C100" i="2"/>
  <c r="B100" i="2"/>
  <c r="A100" i="2"/>
  <c r="K100" i="2" s="1"/>
  <c r="G100" i="2" s="1"/>
  <c r="H100" i="2" s="1"/>
  <c r="J100" i="2" s="1"/>
  <c r="K99" i="2"/>
  <c r="G99" i="2"/>
  <c r="H99" i="2" s="1"/>
  <c r="J99" i="2" s="1"/>
  <c r="E99" i="2"/>
  <c r="D99" i="2"/>
  <c r="C99" i="2"/>
  <c r="B99" i="2"/>
  <c r="A99" i="2"/>
  <c r="E98" i="2"/>
  <c r="D98" i="2"/>
  <c r="C98" i="2"/>
  <c r="B98" i="2"/>
  <c r="A98" i="2"/>
  <c r="K98" i="2" s="1"/>
  <c r="G98" i="2" s="1"/>
  <c r="H98" i="2" s="1"/>
  <c r="J98" i="2" s="1"/>
  <c r="K97" i="2"/>
  <c r="G97" i="2"/>
  <c r="H97" i="2" s="1"/>
  <c r="J97" i="2" s="1"/>
  <c r="E97" i="2"/>
  <c r="D97" i="2"/>
  <c r="C97" i="2"/>
  <c r="B97" i="2"/>
  <c r="A97" i="2"/>
  <c r="E96" i="2"/>
  <c r="D96" i="2"/>
  <c r="C96" i="2"/>
  <c r="B96" i="2"/>
  <c r="A96" i="2"/>
  <c r="K96" i="2" s="1"/>
  <c r="G96" i="2" s="1"/>
  <c r="H96" i="2" s="1"/>
  <c r="J96" i="2" s="1"/>
  <c r="K95" i="2"/>
  <c r="G95" i="2" s="1"/>
  <c r="H95" i="2" s="1"/>
  <c r="J95" i="2" s="1"/>
  <c r="E95" i="2"/>
  <c r="D95" i="2"/>
  <c r="C95" i="2"/>
  <c r="B95" i="2"/>
  <c r="A95" i="2"/>
  <c r="B94" i="2"/>
  <c r="A94" i="2"/>
  <c r="E93" i="2"/>
  <c r="D93" i="2"/>
  <c r="C93" i="2"/>
  <c r="B93" i="2"/>
  <c r="A93" i="2"/>
  <c r="K93" i="2" s="1"/>
  <c r="G93" i="2" s="1"/>
  <c r="H93" i="2" s="1"/>
  <c r="J93" i="2" s="1"/>
  <c r="K92" i="2"/>
  <c r="G92" i="2"/>
  <c r="H92" i="2" s="1"/>
  <c r="J92" i="2" s="1"/>
  <c r="E92" i="2"/>
  <c r="D92" i="2"/>
  <c r="C92" i="2"/>
  <c r="B92" i="2"/>
  <c r="A92" i="2"/>
  <c r="K91" i="2"/>
  <c r="G91" i="2" s="1"/>
  <c r="H91" i="2" s="1"/>
  <c r="J91" i="2"/>
  <c r="E91" i="2"/>
  <c r="D91" i="2"/>
  <c r="C91" i="2"/>
  <c r="B91" i="2"/>
  <c r="A91" i="2"/>
  <c r="E90" i="2"/>
  <c r="D90" i="2"/>
  <c r="C90" i="2"/>
  <c r="B90" i="2"/>
  <c r="A90" i="2"/>
  <c r="K90" i="2" s="1"/>
  <c r="G90" i="2" s="1"/>
  <c r="H90" i="2" s="1"/>
  <c r="J90" i="2" s="1"/>
  <c r="K89" i="2"/>
  <c r="G89" i="2"/>
  <c r="H89" i="2" s="1"/>
  <c r="J89" i="2" s="1"/>
  <c r="E89" i="2"/>
  <c r="D89" i="2"/>
  <c r="C89" i="2"/>
  <c r="B89" i="2"/>
  <c r="A89" i="2"/>
  <c r="G88" i="2"/>
  <c r="H88" i="2" s="1"/>
  <c r="J88" i="2" s="1"/>
  <c r="E88" i="2"/>
  <c r="D88" i="2"/>
  <c r="C88" i="2"/>
  <c r="B88" i="2"/>
  <c r="A88" i="2"/>
  <c r="K88" i="2" s="1"/>
  <c r="K87" i="2"/>
  <c r="G87" i="2"/>
  <c r="H87" i="2" s="1"/>
  <c r="J87" i="2" s="1"/>
  <c r="E87" i="2"/>
  <c r="D87" i="2"/>
  <c r="C87" i="2"/>
  <c r="B87" i="2"/>
  <c r="A87" i="2"/>
  <c r="E86" i="2"/>
  <c r="D86" i="2"/>
  <c r="C86" i="2"/>
  <c r="B86" i="2"/>
  <c r="A86" i="2"/>
  <c r="K86" i="2" s="1"/>
  <c r="G86" i="2" s="1"/>
  <c r="H86" i="2" s="1"/>
  <c r="J86" i="2" s="1"/>
  <c r="K85" i="2"/>
  <c r="G85" i="2" s="1"/>
  <c r="H85" i="2" s="1"/>
  <c r="J85" i="2" s="1"/>
  <c r="E85" i="2"/>
  <c r="D85" i="2"/>
  <c r="C85" i="2"/>
  <c r="B85" i="2"/>
  <c r="A85" i="2"/>
  <c r="E84" i="2"/>
  <c r="D84" i="2"/>
  <c r="C84" i="2"/>
  <c r="B84" i="2"/>
  <c r="A84" i="2"/>
  <c r="K84" i="2" s="1"/>
  <c r="G84" i="2" s="1"/>
  <c r="H84" i="2" s="1"/>
  <c r="J84" i="2" s="1"/>
  <c r="K83" i="2"/>
  <c r="G83" i="2"/>
  <c r="H83" i="2" s="1"/>
  <c r="J83" i="2" s="1"/>
  <c r="E83" i="2"/>
  <c r="D83" i="2"/>
  <c r="C83" i="2"/>
  <c r="B83" i="2"/>
  <c r="A83" i="2"/>
  <c r="E82" i="2"/>
  <c r="D82" i="2"/>
  <c r="C82" i="2"/>
  <c r="B82" i="2"/>
  <c r="A82" i="2"/>
  <c r="K82" i="2" s="1"/>
  <c r="G82" i="2" s="1"/>
  <c r="H82" i="2" s="1"/>
  <c r="J82" i="2" s="1"/>
  <c r="K81" i="2"/>
  <c r="G81" i="2" s="1"/>
  <c r="H81" i="2" s="1"/>
  <c r="J81" i="2" s="1"/>
  <c r="E81" i="2"/>
  <c r="D81" i="2"/>
  <c r="C81" i="2"/>
  <c r="B81" i="2"/>
  <c r="A81" i="2"/>
  <c r="K80" i="2"/>
  <c r="G80" i="2" s="1"/>
  <c r="H80" i="2"/>
  <c r="J80" i="2" s="1"/>
  <c r="E80" i="2"/>
  <c r="D80" i="2"/>
  <c r="C80" i="2"/>
  <c r="B80" i="2"/>
  <c r="A80" i="2"/>
  <c r="B79" i="2"/>
  <c r="A79" i="2"/>
  <c r="K78" i="2"/>
  <c r="G78" i="2" s="1"/>
  <c r="H78" i="2" s="1"/>
  <c r="J78" i="2"/>
  <c r="E78" i="2"/>
  <c r="D78" i="2"/>
  <c r="C78" i="2"/>
  <c r="B78" i="2"/>
  <c r="A78" i="2"/>
  <c r="K77" i="2"/>
  <c r="G77" i="2" s="1"/>
  <c r="H77" i="2"/>
  <c r="J77" i="2" s="1"/>
  <c r="E77" i="2"/>
  <c r="D77" i="2"/>
  <c r="C77" i="2"/>
  <c r="B77" i="2"/>
  <c r="A77" i="2"/>
  <c r="G76" i="2"/>
  <c r="H76" i="2" s="1"/>
  <c r="J76" i="2" s="1"/>
  <c r="E76" i="2"/>
  <c r="D76" i="2"/>
  <c r="C76" i="2"/>
  <c r="B76" i="2"/>
  <c r="A76" i="2"/>
  <c r="K76" i="2" s="1"/>
  <c r="K75" i="2"/>
  <c r="G75" i="2"/>
  <c r="H75" i="2" s="1"/>
  <c r="J75" i="2" s="1"/>
  <c r="E75" i="2"/>
  <c r="D75" i="2"/>
  <c r="C75" i="2"/>
  <c r="B75" i="2"/>
  <c r="A75" i="2"/>
  <c r="E74" i="2"/>
  <c r="D74" i="2"/>
  <c r="C74" i="2"/>
  <c r="B74" i="2"/>
  <c r="A74" i="2"/>
  <c r="K74" i="2" s="1"/>
  <c r="G74" i="2" s="1"/>
  <c r="H74" i="2" s="1"/>
  <c r="J74" i="2" s="1"/>
  <c r="K73" i="2"/>
  <c r="G73" i="2" s="1"/>
  <c r="H73" i="2" s="1"/>
  <c r="J73" i="2" s="1"/>
  <c r="E73" i="2"/>
  <c r="D73" i="2"/>
  <c r="C73" i="2"/>
  <c r="B73" i="2"/>
  <c r="A73" i="2"/>
  <c r="E72" i="2"/>
  <c r="D72" i="2"/>
  <c r="C72" i="2"/>
  <c r="B72" i="2"/>
  <c r="A72" i="2"/>
  <c r="K72" i="2" s="1"/>
  <c r="G72" i="2" s="1"/>
  <c r="E71" i="2"/>
  <c r="D71" i="2"/>
  <c r="C71" i="2"/>
  <c r="B71" i="2"/>
  <c r="A71" i="2"/>
  <c r="K71" i="2" s="1"/>
  <c r="G71" i="2" s="1"/>
  <c r="H71" i="2" s="1"/>
  <c r="J71" i="2" s="1"/>
  <c r="E70" i="2"/>
  <c r="D70" i="2"/>
  <c r="C70" i="2"/>
  <c r="B70" i="2"/>
  <c r="A70" i="2"/>
  <c r="K70" i="2" s="1"/>
  <c r="G70" i="2" s="1"/>
  <c r="H70" i="2" s="1"/>
  <c r="J70" i="2" s="1"/>
  <c r="K69" i="2"/>
  <c r="G69" i="2"/>
  <c r="H69" i="2" s="1"/>
  <c r="J69" i="2" s="1"/>
  <c r="E69" i="2"/>
  <c r="D69" i="2"/>
  <c r="C69" i="2"/>
  <c r="B69" i="2"/>
  <c r="A69" i="2"/>
  <c r="K68" i="2"/>
  <c r="G68" i="2" s="1"/>
  <c r="H68" i="2" s="1"/>
  <c r="J68" i="2"/>
  <c r="E68" i="2"/>
  <c r="D68" i="2"/>
  <c r="C68" i="2"/>
  <c r="B68" i="2"/>
  <c r="A68" i="2"/>
  <c r="E67" i="2"/>
  <c r="D67" i="2"/>
  <c r="C67" i="2"/>
  <c r="B67" i="2"/>
  <c r="A67" i="2"/>
  <c r="K67" i="2" s="1"/>
  <c r="G67" i="2" s="1"/>
  <c r="K66" i="2"/>
  <c r="G66" i="2"/>
  <c r="H66" i="2" s="1"/>
  <c r="J66" i="2" s="1"/>
  <c r="E66" i="2"/>
  <c r="D66" i="2"/>
  <c r="C66" i="2"/>
  <c r="B66" i="2"/>
  <c r="A66" i="2"/>
  <c r="E65" i="2"/>
  <c r="D65" i="2"/>
  <c r="C65" i="2"/>
  <c r="B65" i="2"/>
  <c r="A65" i="2"/>
  <c r="K65" i="2" s="1"/>
  <c r="G65" i="2" s="1"/>
  <c r="H65" i="2" s="1"/>
  <c r="J65" i="2" s="1"/>
  <c r="K64" i="2"/>
  <c r="G64" i="2"/>
  <c r="H64" i="2" s="1"/>
  <c r="J64" i="2" s="1"/>
  <c r="E64" i="2"/>
  <c r="D64" i="2"/>
  <c r="C64" i="2"/>
  <c r="B64" i="2"/>
  <c r="A64" i="2"/>
  <c r="E63" i="2"/>
  <c r="D63" i="2"/>
  <c r="C63" i="2"/>
  <c r="B63" i="2"/>
  <c r="A63" i="2"/>
  <c r="K63" i="2" s="1"/>
  <c r="G63" i="2" s="1"/>
  <c r="K62" i="2"/>
  <c r="G62" i="2"/>
  <c r="H62" i="2" s="1"/>
  <c r="J62" i="2" s="1"/>
  <c r="E62" i="2"/>
  <c r="D62" i="2"/>
  <c r="C62" i="2"/>
  <c r="B62" i="2"/>
  <c r="A62" i="2"/>
  <c r="E61" i="2"/>
  <c r="D61" i="2"/>
  <c r="C61" i="2"/>
  <c r="B61" i="2"/>
  <c r="A61" i="2"/>
  <c r="K61" i="2" s="1"/>
  <c r="G61" i="2" s="1"/>
  <c r="H61" i="2" s="1"/>
  <c r="J61" i="2" s="1"/>
  <c r="K60" i="2"/>
  <c r="G60" i="2"/>
  <c r="H60" i="2" s="1"/>
  <c r="J60" i="2" s="1"/>
  <c r="E60" i="2"/>
  <c r="D60" i="2"/>
  <c r="C60" i="2"/>
  <c r="B60" i="2"/>
  <c r="A60" i="2"/>
  <c r="E59" i="2"/>
  <c r="D59" i="2"/>
  <c r="C59" i="2"/>
  <c r="B59" i="2"/>
  <c r="A59" i="2"/>
  <c r="K59" i="2" s="1"/>
  <c r="G59" i="2" s="1"/>
  <c r="H59" i="2" s="1"/>
  <c r="J59" i="2" s="1"/>
  <c r="E58" i="2"/>
  <c r="D58" i="2"/>
  <c r="C58" i="2"/>
  <c r="B58" i="2"/>
  <c r="A58" i="2"/>
  <c r="K58" i="2" s="1"/>
  <c r="G58" i="2" s="1"/>
  <c r="H58" i="2" s="1"/>
  <c r="J58" i="2" s="1"/>
  <c r="K57" i="2"/>
  <c r="G57" i="2" s="1"/>
  <c r="H57" i="2" s="1"/>
  <c r="J57" i="2" s="1"/>
  <c r="E57" i="2"/>
  <c r="D57" i="2"/>
  <c r="C57" i="2"/>
  <c r="B57" i="2"/>
  <c r="A57" i="2"/>
  <c r="G56" i="2"/>
  <c r="H56" i="2" s="1"/>
  <c r="J56" i="2" s="1"/>
  <c r="E56" i="2"/>
  <c r="D56" i="2"/>
  <c r="C56" i="2"/>
  <c r="B56" i="2"/>
  <c r="A56" i="2"/>
  <c r="K56" i="2" s="1"/>
  <c r="K55" i="2"/>
  <c r="G55" i="2"/>
  <c r="H55" i="2" s="1"/>
  <c r="J55" i="2" s="1"/>
  <c r="E55" i="2"/>
  <c r="D55" i="2"/>
  <c r="C55" i="2"/>
  <c r="B55" i="2"/>
  <c r="A55" i="2"/>
  <c r="E54" i="2"/>
  <c r="D54" i="2"/>
  <c r="C54" i="2"/>
  <c r="B54" i="2"/>
  <c r="A54" i="2"/>
  <c r="K54" i="2" s="1"/>
  <c r="G54" i="2" s="1"/>
  <c r="H54" i="2" s="1"/>
  <c r="J54" i="2" s="1"/>
  <c r="K53" i="2"/>
  <c r="G53" i="2" s="1"/>
  <c r="H53" i="2" s="1"/>
  <c r="J53" i="2" s="1"/>
  <c r="E53" i="2"/>
  <c r="D53" i="2"/>
  <c r="C53" i="2"/>
  <c r="B53" i="2"/>
  <c r="A53" i="2"/>
  <c r="E52" i="2"/>
  <c r="D52" i="2"/>
  <c r="C52" i="2"/>
  <c r="B52" i="2"/>
  <c r="A52" i="2"/>
  <c r="K52" i="2" s="1"/>
  <c r="G52" i="2" s="1"/>
  <c r="H52" i="2" s="1"/>
  <c r="J52" i="2" s="1"/>
  <c r="K51" i="2"/>
  <c r="G51" i="2"/>
  <c r="E51" i="2"/>
  <c r="D51" i="2"/>
  <c r="C51" i="2"/>
  <c r="B51" i="2"/>
  <c r="A51" i="2"/>
  <c r="E50" i="2"/>
  <c r="D50" i="2"/>
  <c r="C50" i="2"/>
  <c r="B50" i="2"/>
  <c r="A50" i="2"/>
  <c r="K50" i="2" s="1"/>
  <c r="G50" i="2" s="1"/>
  <c r="H50" i="2" s="1"/>
  <c r="J50" i="2" s="1"/>
  <c r="B49" i="2"/>
  <c r="A49" i="2"/>
  <c r="B48" i="2"/>
  <c r="A48" i="2"/>
  <c r="K47" i="2"/>
  <c r="G47" i="2"/>
  <c r="E47" i="2"/>
  <c r="D47" i="2"/>
  <c r="C47" i="2"/>
  <c r="B47" i="2"/>
  <c r="A47" i="2"/>
  <c r="E46" i="2"/>
  <c r="D46" i="2"/>
  <c r="C46" i="2"/>
  <c r="B46" i="2"/>
  <c r="A46" i="2"/>
  <c r="K46" i="2" s="1"/>
  <c r="G46" i="2" s="1"/>
  <c r="H46" i="2" s="1"/>
  <c r="J46" i="2" s="1"/>
  <c r="K45" i="2"/>
  <c r="G45" i="2"/>
  <c r="H45" i="2" s="1"/>
  <c r="J45" i="2" s="1"/>
  <c r="E45" i="2"/>
  <c r="D45" i="2"/>
  <c r="C45" i="2"/>
  <c r="B45" i="2"/>
  <c r="A45" i="2"/>
  <c r="E44" i="2"/>
  <c r="D44" i="2"/>
  <c r="C44" i="2"/>
  <c r="B44" i="2"/>
  <c r="A44" i="2"/>
  <c r="K44" i="2" s="1"/>
  <c r="G44" i="2" s="1"/>
  <c r="H44" i="2" s="1"/>
  <c r="J44" i="2" s="1"/>
  <c r="K43" i="2"/>
  <c r="G43" i="2" s="1"/>
  <c r="H43" i="2" s="1"/>
  <c r="J43" i="2" s="1"/>
  <c r="E43" i="2"/>
  <c r="D43" i="2"/>
  <c r="C43" i="2"/>
  <c r="B43" i="2"/>
  <c r="A43" i="2"/>
  <c r="K42" i="2"/>
  <c r="G42" i="2" s="1"/>
  <c r="H42" i="2" s="1"/>
  <c r="J42" i="2" s="1"/>
  <c r="E42" i="2"/>
  <c r="D42" i="2"/>
  <c r="C42" i="2"/>
  <c r="B42" i="2"/>
  <c r="A42" i="2"/>
  <c r="K41" i="2"/>
  <c r="H41" i="2"/>
  <c r="J41" i="2" s="1"/>
  <c r="G41" i="2"/>
  <c r="E41" i="2"/>
  <c r="D41" i="2"/>
  <c r="C41" i="2"/>
  <c r="B41" i="2"/>
  <c r="A41" i="2"/>
  <c r="K40" i="2"/>
  <c r="G40" i="2"/>
  <c r="H40" i="2" s="1"/>
  <c r="J40" i="2" s="1"/>
  <c r="E40" i="2"/>
  <c r="D40" i="2"/>
  <c r="C40" i="2"/>
  <c r="B40" i="2"/>
  <c r="A40" i="2"/>
  <c r="E39" i="2"/>
  <c r="D39" i="2"/>
  <c r="C39" i="2"/>
  <c r="B39" i="2"/>
  <c r="A39" i="2"/>
  <c r="K39" i="2" s="1"/>
  <c r="G39" i="2" s="1"/>
  <c r="H39" i="2" s="1"/>
  <c r="J39" i="2" s="1"/>
  <c r="K38" i="2"/>
  <c r="G38" i="2"/>
  <c r="H38" i="2" s="1"/>
  <c r="J38" i="2" s="1"/>
  <c r="E38" i="2"/>
  <c r="D38" i="2"/>
  <c r="C38" i="2"/>
  <c r="B38" i="2"/>
  <c r="A38" i="2"/>
  <c r="E37" i="2"/>
  <c r="D37" i="2"/>
  <c r="C37" i="2"/>
  <c r="B37" i="2"/>
  <c r="A37" i="2"/>
  <c r="K37" i="2" s="1"/>
  <c r="G37" i="2" s="1"/>
  <c r="H37" i="2" s="1"/>
  <c r="J37" i="2" s="1"/>
  <c r="K36" i="2"/>
  <c r="G36" i="2"/>
  <c r="H36" i="2" s="1"/>
  <c r="J36" i="2" s="1"/>
  <c r="E36" i="2"/>
  <c r="D36" i="2"/>
  <c r="C36" i="2"/>
  <c r="B36" i="2"/>
  <c r="A36" i="2"/>
  <c r="E35" i="2"/>
  <c r="D35" i="2"/>
  <c r="C35" i="2"/>
  <c r="B35" i="2"/>
  <c r="A35" i="2"/>
  <c r="K35" i="2" s="1"/>
  <c r="G35" i="2" s="1"/>
  <c r="H35" i="2" s="1"/>
  <c r="J35" i="2" s="1"/>
  <c r="E34" i="2"/>
  <c r="D34" i="2"/>
  <c r="C34" i="2"/>
  <c r="B34" i="2"/>
  <c r="A34" i="2"/>
  <c r="K34" i="2" s="1"/>
  <c r="G34" i="2" s="1"/>
  <c r="H34" i="2" s="1"/>
  <c r="J34" i="2" s="1"/>
  <c r="K33" i="2"/>
  <c r="G33" i="2" s="1"/>
  <c r="H33" i="2" s="1"/>
  <c r="J33" i="2" s="1"/>
  <c r="E33" i="2"/>
  <c r="D33" i="2"/>
  <c r="C33" i="2"/>
  <c r="B33" i="2"/>
  <c r="A33" i="2"/>
  <c r="K32" i="2"/>
  <c r="G32" i="2"/>
  <c r="H32" i="2" s="1"/>
  <c r="J32" i="2" s="1"/>
  <c r="E32" i="2"/>
  <c r="D32" i="2"/>
  <c r="C32" i="2"/>
  <c r="B32" i="2"/>
  <c r="A32" i="2"/>
  <c r="K31" i="2"/>
  <c r="G31" i="2" s="1"/>
  <c r="H31" i="2"/>
  <c r="J31" i="2" s="1"/>
  <c r="E31" i="2"/>
  <c r="D31" i="2"/>
  <c r="C31" i="2"/>
  <c r="B31" i="2"/>
  <c r="A31" i="2"/>
  <c r="E30" i="2"/>
  <c r="D30" i="2"/>
  <c r="C30" i="2"/>
  <c r="B30" i="2"/>
  <c r="A30" i="2"/>
  <c r="K30" i="2" s="1"/>
  <c r="G30" i="2" s="1"/>
  <c r="H30" i="2" s="1"/>
  <c r="J30" i="2" s="1"/>
  <c r="K29" i="2"/>
  <c r="G29" i="2" s="1"/>
  <c r="H29" i="2" s="1"/>
  <c r="J29" i="2" s="1"/>
  <c r="E29" i="2"/>
  <c r="D29" i="2"/>
  <c r="C29" i="2"/>
  <c r="B29" i="2"/>
  <c r="A29" i="2"/>
  <c r="G28" i="2"/>
  <c r="H28" i="2" s="1"/>
  <c r="J28" i="2" s="1"/>
  <c r="E28" i="2"/>
  <c r="D28" i="2"/>
  <c r="C28" i="2"/>
  <c r="B28" i="2"/>
  <c r="A28" i="2"/>
  <c r="K28" i="2" s="1"/>
  <c r="K27" i="2"/>
  <c r="G27" i="2"/>
  <c r="H27" i="2" s="1"/>
  <c r="J27" i="2" s="1"/>
  <c r="E27" i="2"/>
  <c r="D27" i="2"/>
  <c r="C27" i="2"/>
  <c r="B27" i="2"/>
  <c r="A27" i="2"/>
  <c r="E26" i="2"/>
  <c r="D26" i="2"/>
  <c r="C26" i="2"/>
  <c r="B26" i="2"/>
  <c r="A26" i="2"/>
  <c r="K26" i="2" s="1"/>
  <c r="G26" i="2" s="1"/>
  <c r="H26" i="2" s="1"/>
  <c r="J26" i="2" s="1"/>
  <c r="K25" i="2"/>
  <c r="G25" i="2" s="1"/>
  <c r="H25" i="2" s="1"/>
  <c r="J25" i="2" s="1"/>
  <c r="E25" i="2"/>
  <c r="D25" i="2"/>
  <c r="C25" i="2"/>
  <c r="B25" i="2"/>
  <c r="A25" i="2"/>
  <c r="E24" i="2"/>
  <c r="D24" i="2"/>
  <c r="C24" i="2"/>
  <c r="B24" i="2"/>
  <c r="A24" i="2"/>
  <c r="K24" i="2" s="1"/>
  <c r="G24" i="2" s="1"/>
  <c r="H24" i="2" s="1"/>
  <c r="J24" i="2" s="1"/>
  <c r="E23" i="2"/>
  <c r="D23" i="2"/>
  <c r="C23" i="2"/>
  <c r="B23" i="2"/>
  <c r="A23" i="2"/>
  <c r="K23" i="2" s="1"/>
  <c r="G23" i="2" s="1"/>
  <c r="H23" i="2" s="1"/>
  <c r="J23" i="2" s="1"/>
  <c r="K22" i="2"/>
  <c r="G22" i="2" s="1"/>
  <c r="H22" i="2" s="1"/>
  <c r="J22" i="2" s="1"/>
  <c r="E22" i="2"/>
  <c r="D22" i="2"/>
  <c r="C22" i="2"/>
  <c r="B22" i="2"/>
  <c r="A22" i="2"/>
  <c r="K21" i="2"/>
  <c r="G21" i="2" s="1"/>
  <c r="H21" i="2" s="1"/>
  <c r="J21" i="2"/>
  <c r="E21" i="2"/>
  <c r="D21" i="2"/>
  <c r="C21" i="2"/>
  <c r="B21" i="2"/>
  <c r="A21" i="2"/>
  <c r="K20" i="2"/>
  <c r="G20" i="2"/>
  <c r="H20" i="2" s="1"/>
  <c r="J20" i="2" s="1"/>
  <c r="E20" i="2"/>
  <c r="D20" i="2"/>
  <c r="C20" i="2"/>
  <c r="B20" i="2"/>
  <c r="A20" i="2"/>
  <c r="G19" i="2"/>
  <c r="H19" i="2" s="1"/>
  <c r="J19" i="2" s="1"/>
  <c r="E19" i="2"/>
  <c r="D19" i="2"/>
  <c r="C19" i="2"/>
  <c r="B19" i="2"/>
  <c r="A19" i="2"/>
  <c r="K19" i="2" s="1"/>
  <c r="B18" i="2"/>
  <c r="A18" i="2"/>
  <c r="K17" i="2"/>
  <c r="G17" i="2"/>
  <c r="H17" i="2" s="1"/>
  <c r="E17" i="2"/>
  <c r="D17" i="2"/>
  <c r="C17" i="2"/>
  <c r="B17" i="2"/>
  <c r="A17" i="2"/>
  <c r="B16" i="2"/>
  <c r="A16" i="2"/>
  <c r="K15" i="2"/>
  <c r="G15" i="2"/>
  <c r="H15" i="2" s="1"/>
  <c r="J15" i="2" s="1"/>
  <c r="E15" i="2"/>
  <c r="D15" i="2"/>
  <c r="C15" i="2"/>
  <c r="B15" i="2"/>
  <c r="A15" i="2"/>
  <c r="K14" i="2"/>
  <c r="G14" i="2"/>
  <c r="H14" i="2" s="1"/>
  <c r="J14" i="2" s="1"/>
  <c r="E14" i="2"/>
  <c r="D14" i="2"/>
  <c r="C14" i="2"/>
  <c r="B14" i="2"/>
  <c r="A14" i="2"/>
  <c r="G13" i="2"/>
  <c r="E13" i="2"/>
  <c r="D13" i="2"/>
  <c r="C13" i="2"/>
  <c r="B13" i="2"/>
  <c r="A13" i="2"/>
  <c r="K13" i="2" s="1"/>
  <c r="K12" i="2"/>
  <c r="G12" i="2"/>
  <c r="H12" i="2" s="1"/>
  <c r="J12" i="2" s="1"/>
  <c r="E12" i="2"/>
  <c r="D12" i="2"/>
  <c r="C12" i="2"/>
  <c r="B12" i="2"/>
  <c r="A12" i="2"/>
  <c r="E11" i="2"/>
  <c r="D11" i="2"/>
  <c r="C11" i="2"/>
  <c r="B11" i="2"/>
  <c r="A11" i="2"/>
  <c r="K11" i="2" s="1"/>
  <c r="G11" i="2" s="1"/>
  <c r="H11" i="2" s="1"/>
  <c r="J11" i="2" s="1"/>
  <c r="K10" i="2"/>
  <c r="G10" i="2" s="1"/>
  <c r="H10" i="2"/>
  <c r="J10" i="2" s="1"/>
  <c r="E10" i="2"/>
  <c r="D10" i="2"/>
  <c r="C10" i="2"/>
  <c r="B10" i="2"/>
  <c r="A10" i="2"/>
  <c r="E9" i="2"/>
  <c r="D9" i="2"/>
  <c r="C9" i="2"/>
  <c r="B9" i="2"/>
  <c r="A9" i="2"/>
  <c r="K9" i="2" s="1"/>
  <c r="G9" i="2" s="1"/>
  <c r="H9" i="2" s="1"/>
  <c r="J9" i="2" s="1"/>
  <c r="E8" i="2"/>
  <c r="D8" i="2"/>
  <c r="C8" i="2"/>
  <c r="B8" i="2"/>
  <c r="A8" i="2"/>
  <c r="K8" i="2" s="1"/>
  <c r="G8" i="2" s="1"/>
  <c r="H8" i="2" s="1"/>
  <c r="J8" i="2" s="1"/>
  <c r="B7" i="2"/>
  <c r="A7" i="2"/>
  <c r="A3" i="2"/>
  <c r="I2" i="2"/>
  <c r="F2" i="2"/>
  <c r="K206" i="1"/>
  <c r="G206" i="1" s="1"/>
  <c r="H206" i="1" s="1"/>
  <c r="J206" i="1" s="1"/>
  <c r="E206" i="1"/>
  <c r="D206" i="1"/>
  <c r="C206" i="1"/>
  <c r="B206" i="1"/>
  <c r="A206" i="1"/>
  <c r="E205" i="1"/>
  <c r="D205" i="1"/>
  <c r="C205" i="1"/>
  <c r="B205" i="1"/>
  <c r="A205" i="1"/>
  <c r="K205" i="1" s="1"/>
  <c r="G205" i="1" s="1"/>
  <c r="H205" i="1" s="1"/>
  <c r="J205" i="1" s="1"/>
  <c r="K204" i="1"/>
  <c r="G204" i="1" s="1"/>
  <c r="H204" i="1" s="1"/>
  <c r="J204" i="1" s="1"/>
  <c r="E204" i="1"/>
  <c r="D204" i="1"/>
  <c r="C204" i="1"/>
  <c r="B204" i="1"/>
  <c r="A204" i="1"/>
  <c r="E203" i="1"/>
  <c r="D203" i="1"/>
  <c r="C203" i="1"/>
  <c r="B203" i="1"/>
  <c r="A203" i="1"/>
  <c r="K203" i="1" s="1"/>
  <c r="G203" i="1" s="1"/>
  <c r="H203" i="1" s="1"/>
  <c r="J203" i="1" s="1"/>
  <c r="K202" i="1"/>
  <c r="H202" i="1"/>
  <c r="J202" i="1" s="1"/>
  <c r="G202" i="1"/>
  <c r="E202" i="1"/>
  <c r="D202" i="1"/>
  <c r="C202" i="1"/>
  <c r="B202" i="1"/>
  <c r="A202" i="1"/>
  <c r="E201" i="1"/>
  <c r="D201" i="1"/>
  <c r="C201" i="1"/>
  <c r="B201" i="1"/>
  <c r="A201" i="1"/>
  <c r="K201" i="1" s="1"/>
  <c r="G201" i="1" s="1"/>
  <c r="H201" i="1" s="1"/>
  <c r="J201" i="1" s="1"/>
  <c r="B200" i="1"/>
  <c r="A200" i="1"/>
  <c r="K199" i="1"/>
  <c r="G199" i="1"/>
  <c r="H199" i="1" s="1"/>
  <c r="J199" i="1" s="1"/>
  <c r="E199" i="1"/>
  <c r="D199" i="1"/>
  <c r="C199" i="1"/>
  <c r="B199" i="1"/>
  <c r="A199" i="1"/>
  <c r="E198" i="1"/>
  <c r="D198" i="1"/>
  <c r="C198" i="1"/>
  <c r="B198" i="1"/>
  <c r="A198" i="1"/>
  <c r="K198" i="1" s="1"/>
  <c r="G198" i="1" s="1"/>
  <c r="H198" i="1" s="1"/>
  <c r="J198" i="1" s="1"/>
  <c r="E197" i="1"/>
  <c r="D197" i="1"/>
  <c r="C197" i="1"/>
  <c r="B197" i="1"/>
  <c r="A197" i="1"/>
  <c r="K197" i="1" s="1"/>
  <c r="G197" i="1" s="1"/>
  <c r="H197" i="1" s="1"/>
  <c r="J197" i="1" s="1"/>
  <c r="E196" i="1"/>
  <c r="D196" i="1"/>
  <c r="C196" i="1"/>
  <c r="B196" i="1"/>
  <c r="A196" i="1"/>
  <c r="K196" i="1" s="1"/>
  <c r="G196" i="1" s="1"/>
  <c r="H196" i="1" s="1"/>
  <c r="J196" i="1" s="1"/>
  <c r="B195" i="1"/>
  <c r="A195" i="1"/>
  <c r="E194" i="1"/>
  <c r="D194" i="1"/>
  <c r="C194" i="1"/>
  <c r="B194" i="1"/>
  <c r="A194" i="1"/>
  <c r="K194" i="1" s="1"/>
  <c r="G194" i="1" s="1"/>
  <c r="H194" i="1" s="1"/>
  <c r="J194" i="1" s="1"/>
  <c r="B193" i="1"/>
  <c r="A193" i="1"/>
  <c r="E192" i="1"/>
  <c r="D192" i="1"/>
  <c r="C192" i="1"/>
  <c r="B192" i="1"/>
  <c r="A192" i="1"/>
  <c r="K192" i="1" s="1"/>
  <c r="G192" i="1" s="1"/>
  <c r="H192" i="1" s="1"/>
  <c r="J192" i="1" s="1"/>
  <c r="E191" i="1"/>
  <c r="D191" i="1"/>
  <c r="C191" i="1"/>
  <c r="B191" i="1"/>
  <c r="A191" i="1"/>
  <c r="K191" i="1" s="1"/>
  <c r="G191" i="1" s="1"/>
  <c r="H191" i="1" s="1"/>
  <c r="J191" i="1" s="1"/>
  <c r="E190" i="1"/>
  <c r="D190" i="1"/>
  <c r="C190" i="1"/>
  <c r="B190" i="1"/>
  <c r="A190" i="1"/>
  <c r="K190" i="1" s="1"/>
  <c r="G190" i="1" s="1"/>
  <c r="H190" i="1" s="1"/>
  <c r="J190" i="1" s="1"/>
  <c r="K189" i="1"/>
  <c r="G189" i="1"/>
  <c r="H189" i="1" s="1"/>
  <c r="J189" i="1" s="1"/>
  <c r="E189" i="1"/>
  <c r="D189" i="1"/>
  <c r="C189" i="1"/>
  <c r="B189" i="1"/>
  <c r="A189" i="1"/>
  <c r="K188" i="1"/>
  <c r="G188" i="1" s="1"/>
  <c r="H188" i="1" s="1"/>
  <c r="J188" i="1" s="1"/>
  <c r="E188" i="1"/>
  <c r="D188" i="1"/>
  <c r="C188" i="1"/>
  <c r="B188" i="1"/>
  <c r="A188" i="1"/>
  <c r="E187" i="1"/>
  <c r="D187" i="1"/>
  <c r="C187" i="1"/>
  <c r="B187" i="1"/>
  <c r="A187" i="1"/>
  <c r="K187" i="1" s="1"/>
  <c r="G187" i="1" s="1"/>
  <c r="H187" i="1" s="1"/>
  <c r="J187" i="1" s="1"/>
  <c r="K186" i="1"/>
  <c r="G186" i="1" s="1"/>
  <c r="H186" i="1" s="1"/>
  <c r="J186" i="1" s="1"/>
  <c r="E186" i="1"/>
  <c r="D186" i="1"/>
  <c r="C186" i="1"/>
  <c r="B186" i="1"/>
  <c r="A186" i="1"/>
  <c r="E185" i="1"/>
  <c r="D185" i="1"/>
  <c r="C185" i="1"/>
  <c r="B185" i="1"/>
  <c r="A185" i="1"/>
  <c r="K185" i="1" s="1"/>
  <c r="G185" i="1" s="1"/>
  <c r="H185" i="1" s="1"/>
  <c r="J185" i="1" s="1"/>
  <c r="K184" i="1"/>
  <c r="G184" i="1" s="1"/>
  <c r="H184" i="1"/>
  <c r="J184" i="1" s="1"/>
  <c r="E184" i="1"/>
  <c r="D184" i="1"/>
  <c r="C184" i="1"/>
  <c r="B184" i="1"/>
  <c r="A184" i="1"/>
  <c r="E183" i="1"/>
  <c r="D183" i="1"/>
  <c r="C183" i="1"/>
  <c r="B183" i="1"/>
  <c r="A183" i="1"/>
  <c r="K183" i="1" s="1"/>
  <c r="G183" i="1" s="1"/>
  <c r="H183" i="1" s="1"/>
  <c r="J183" i="1" s="1"/>
  <c r="K182" i="1"/>
  <c r="G182" i="1"/>
  <c r="H182" i="1" s="1"/>
  <c r="J182" i="1" s="1"/>
  <c r="E182" i="1"/>
  <c r="D182" i="1"/>
  <c r="C182" i="1"/>
  <c r="B182" i="1"/>
  <c r="A182" i="1"/>
  <c r="E181" i="1"/>
  <c r="D181" i="1"/>
  <c r="C181" i="1"/>
  <c r="B181" i="1"/>
  <c r="A181" i="1"/>
  <c r="K181" i="1" s="1"/>
  <c r="G181" i="1" s="1"/>
  <c r="H181" i="1" s="1"/>
  <c r="J181" i="1" s="1"/>
  <c r="E180" i="1"/>
  <c r="D180" i="1"/>
  <c r="C180" i="1"/>
  <c r="B180" i="1"/>
  <c r="A180" i="1"/>
  <c r="K180" i="1" s="1"/>
  <c r="G180" i="1" s="1"/>
  <c r="H180" i="1" s="1"/>
  <c r="J180" i="1" s="1"/>
  <c r="K179" i="1"/>
  <c r="G179" i="1" s="1"/>
  <c r="H179" i="1" s="1"/>
  <c r="J179" i="1" s="1"/>
  <c r="E179" i="1"/>
  <c r="D179" i="1"/>
  <c r="C179" i="1"/>
  <c r="B179" i="1"/>
  <c r="A179" i="1"/>
  <c r="E178" i="1"/>
  <c r="D178" i="1"/>
  <c r="C178" i="1"/>
  <c r="B178" i="1"/>
  <c r="A178" i="1"/>
  <c r="K178" i="1" s="1"/>
  <c r="G178" i="1" s="1"/>
  <c r="H178" i="1" s="1"/>
  <c r="J178" i="1" s="1"/>
  <c r="K177" i="1"/>
  <c r="G177" i="1" s="1"/>
  <c r="H177" i="1" s="1"/>
  <c r="J177" i="1" s="1"/>
  <c r="E177" i="1"/>
  <c r="D177" i="1"/>
  <c r="C177" i="1"/>
  <c r="B177" i="1"/>
  <c r="A177" i="1"/>
  <c r="E176" i="1"/>
  <c r="D176" i="1"/>
  <c r="C176" i="1"/>
  <c r="B176" i="1"/>
  <c r="A176" i="1"/>
  <c r="K176" i="1" s="1"/>
  <c r="G176" i="1" s="1"/>
  <c r="H176" i="1" s="1"/>
  <c r="J176" i="1" s="1"/>
  <c r="K175" i="1"/>
  <c r="G175" i="1" s="1"/>
  <c r="H175" i="1" s="1"/>
  <c r="J175" i="1"/>
  <c r="E175" i="1"/>
  <c r="D175" i="1"/>
  <c r="C175" i="1"/>
  <c r="B175" i="1"/>
  <c r="A175" i="1"/>
  <c r="E174" i="1"/>
  <c r="D174" i="1"/>
  <c r="C174" i="1"/>
  <c r="B174" i="1"/>
  <c r="A174" i="1"/>
  <c r="K174" i="1" s="1"/>
  <c r="G174" i="1" s="1"/>
  <c r="H174" i="1" s="1"/>
  <c r="J174" i="1" s="1"/>
  <c r="K173" i="1"/>
  <c r="H173" i="1"/>
  <c r="J173" i="1" s="1"/>
  <c r="G173" i="1"/>
  <c r="E173" i="1"/>
  <c r="D173" i="1"/>
  <c r="C173" i="1"/>
  <c r="B173" i="1"/>
  <c r="A173" i="1"/>
  <c r="E172" i="1"/>
  <c r="D172" i="1"/>
  <c r="C172" i="1"/>
  <c r="B172" i="1"/>
  <c r="A172" i="1"/>
  <c r="K172" i="1" s="1"/>
  <c r="G172" i="1" s="1"/>
  <c r="H172" i="1" s="1"/>
  <c r="J172" i="1" s="1"/>
  <c r="B171" i="1"/>
  <c r="A171" i="1"/>
  <c r="K170" i="1"/>
  <c r="G170" i="1"/>
  <c r="H170" i="1" s="1"/>
  <c r="J170" i="1" s="1"/>
  <c r="E170" i="1"/>
  <c r="D170" i="1"/>
  <c r="C170" i="1"/>
  <c r="B170" i="1"/>
  <c r="A170" i="1"/>
  <c r="E169" i="1"/>
  <c r="D169" i="1"/>
  <c r="C169" i="1"/>
  <c r="B169" i="1"/>
  <c r="A169" i="1"/>
  <c r="K169" i="1" s="1"/>
  <c r="G169" i="1" s="1"/>
  <c r="H169" i="1" s="1"/>
  <c r="J169" i="1" s="1"/>
  <c r="E168" i="1"/>
  <c r="D168" i="1"/>
  <c r="C168" i="1"/>
  <c r="B168" i="1"/>
  <c r="A168" i="1"/>
  <c r="K168" i="1" s="1"/>
  <c r="G168" i="1" s="1"/>
  <c r="H168" i="1" s="1"/>
  <c r="J168" i="1" s="1"/>
  <c r="K167" i="1"/>
  <c r="G167" i="1" s="1"/>
  <c r="H167" i="1" s="1"/>
  <c r="J167" i="1" s="1"/>
  <c r="E167" i="1"/>
  <c r="D167" i="1"/>
  <c r="C167" i="1"/>
  <c r="B167" i="1"/>
  <c r="A167" i="1"/>
  <c r="K166" i="1"/>
  <c r="G166" i="1"/>
  <c r="E166" i="1"/>
  <c r="D166" i="1"/>
  <c r="C166" i="1"/>
  <c r="B166" i="1"/>
  <c r="A166" i="1"/>
  <c r="K165" i="1"/>
  <c r="G165" i="1" s="1"/>
  <c r="H165" i="1" s="1"/>
  <c r="J165" i="1" s="1"/>
  <c r="E165" i="1"/>
  <c r="D165" i="1"/>
  <c r="C165" i="1"/>
  <c r="B165" i="1"/>
  <c r="A165" i="1"/>
  <c r="B164" i="1"/>
  <c r="A164" i="1"/>
  <c r="K163" i="1"/>
  <c r="G163" i="1"/>
  <c r="E163" i="1"/>
  <c r="D163" i="1"/>
  <c r="C163" i="1"/>
  <c r="B163" i="1"/>
  <c r="A163" i="1"/>
  <c r="K162" i="1"/>
  <c r="G162" i="1" s="1"/>
  <c r="H162" i="1" s="1"/>
  <c r="J162" i="1" s="1"/>
  <c r="E162" i="1"/>
  <c r="D162" i="1"/>
  <c r="C162" i="1"/>
  <c r="B162" i="1"/>
  <c r="A162" i="1"/>
  <c r="E161" i="1"/>
  <c r="D161" i="1"/>
  <c r="C161" i="1"/>
  <c r="B161" i="1"/>
  <c r="A161" i="1"/>
  <c r="K161" i="1" s="1"/>
  <c r="G161" i="1" s="1"/>
  <c r="H161" i="1" s="1"/>
  <c r="J161" i="1" s="1"/>
  <c r="K160" i="1"/>
  <c r="G160" i="1" s="1"/>
  <c r="H160" i="1" s="1"/>
  <c r="J160" i="1" s="1"/>
  <c r="E160" i="1"/>
  <c r="D160" i="1"/>
  <c r="C160" i="1"/>
  <c r="B160" i="1"/>
  <c r="A160" i="1"/>
  <c r="B159" i="1"/>
  <c r="A159" i="1"/>
  <c r="E158" i="1"/>
  <c r="D158" i="1"/>
  <c r="C158" i="1"/>
  <c r="B158" i="1"/>
  <c r="A158" i="1"/>
  <c r="K158" i="1" s="1"/>
  <c r="G158" i="1" s="1"/>
  <c r="H158" i="1" s="1"/>
  <c r="J158" i="1" s="1"/>
  <c r="K157" i="1"/>
  <c r="G157" i="1" s="1"/>
  <c r="H157" i="1" s="1"/>
  <c r="J157" i="1" s="1"/>
  <c r="E157" i="1"/>
  <c r="D157" i="1"/>
  <c r="C157" i="1"/>
  <c r="B157" i="1"/>
  <c r="A157" i="1"/>
  <c r="E156" i="1"/>
  <c r="D156" i="1"/>
  <c r="C156" i="1"/>
  <c r="B156" i="1"/>
  <c r="A156" i="1"/>
  <c r="K156" i="1" s="1"/>
  <c r="G156" i="1" s="1"/>
  <c r="H156" i="1" s="1"/>
  <c r="J156" i="1" s="1"/>
  <c r="K155" i="1"/>
  <c r="G155" i="1" s="1"/>
  <c r="H155" i="1"/>
  <c r="J155" i="1" s="1"/>
  <c r="E155" i="1"/>
  <c r="D155" i="1"/>
  <c r="C155" i="1"/>
  <c r="B155" i="1"/>
  <c r="A155" i="1"/>
  <c r="E154" i="1"/>
  <c r="D154" i="1"/>
  <c r="C154" i="1"/>
  <c r="B154" i="1"/>
  <c r="A154" i="1"/>
  <c r="K154" i="1" s="1"/>
  <c r="G154" i="1" s="1"/>
  <c r="H154" i="1" s="1"/>
  <c r="J154" i="1" s="1"/>
  <c r="K153" i="1"/>
  <c r="G153" i="1"/>
  <c r="H153" i="1" s="1"/>
  <c r="J153" i="1" s="1"/>
  <c r="E153" i="1"/>
  <c r="D153" i="1"/>
  <c r="C153" i="1"/>
  <c r="B153" i="1"/>
  <c r="A153" i="1"/>
  <c r="E152" i="1"/>
  <c r="D152" i="1"/>
  <c r="C152" i="1"/>
  <c r="B152" i="1"/>
  <c r="A152" i="1"/>
  <c r="K152" i="1" s="1"/>
  <c r="G152" i="1" s="1"/>
  <c r="H152" i="1" s="1"/>
  <c r="J152" i="1" s="1"/>
  <c r="E151" i="1"/>
  <c r="D151" i="1"/>
  <c r="C151" i="1"/>
  <c r="B151" i="1"/>
  <c r="A151" i="1"/>
  <c r="K151" i="1" s="1"/>
  <c r="G151" i="1" s="1"/>
  <c r="H151" i="1" s="1"/>
  <c r="J151" i="1" s="1"/>
  <c r="K150" i="1"/>
  <c r="G150" i="1" s="1"/>
  <c r="H150" i="1" s="1"/>
  <c r="J150" i="1" s="1"/>
  <c r="E150" i="1"/>
  <c r="D150" i="1"/>
  <c r="C150" i="1"/>
  <c r="B150" i="1"/>
  <c r="A150" i="1"/>
  <c r="E149" i="1"/>
  <c r="D149" i="1"/>
  <c r="C149" i="1"/>
  <c r="B149" i="1"/>
  <c r="A149" i="1"/>
  <c r="K149" i="1" s="1"/>
  <c r="G149" i="1" s="1"/>
  <c r="H149" i="1" s="1"/>
  <c r="J149" i="1" s="1"/>
  <c r="K148" i="1"/>
  <c r="G148" i="1" s="1"/>
  <c r="H148" i="1" s="1"/>
  <c r="J148" i="1" s="1"/>
  <c r="E148" i="1"/>
  <c r="D148" i="1"/>
  <c r="C148" i="1"/>
  <c r="B148" i="1"/>
  <c r="A148" i="1"/>
  <c r="E147" i="1"/>
  <c r="D147" i="1"/>
  <c r="C147" i="1"/>
  <c r="B147" i="1"/>
  <c r="A147" i="1"/>
  <c r="K147" i="1" s="1"/>
  <c r="G147" i="1" s="1"/>
  <c r="H147" i="1" s="1"/>
  <c r="J147" i="1" s="1"/>
  <c r="K146" i="1"/>
  <c r="G146" i="1" s="1"/>
  <c r="H146" i="1" s="1"/>
  <c r="J146" i="1" s="1"/>
  <c r="E146" i="1"/>
  <c r="D146" i="1"/>
  <c r="C146" i="1"/>
  <c r="B146" i="1"/>
  <c r="A146" i="1"/>
  <c r="B145" i="1"/>
  <c r="A145" i="1"/>
  <c r="B144" i="1"/>
  <c r="A144" i="1"/>
  <c r="E143" i="1"/>
  <c r="D143" i="1"/>
  <c r="C143" i="1"/>
  <c r="B143" i="1"/>
  <c r="A143" i="1"/>
  <c r="K143" i="1" s="1"/>
  <c r="G143" i="1" s="1"/>
  <c r="H143" i="1" s="1"/>
  <c r="J143" i="1" s="1"/>
  <c r="K142" i="1"/>
  <c r="G142" i="1" s="1"/>
  <c r="H142" i="1" s="1"/>
  <c r="J142" i="1" s="1"/>
  <c r="E142" i="1"/>
  <c r="D142" i="1"/>
  <c r="C142" i="1"/>
  <c r="B142" i="1"/>
  <c r="A142" i="1"/>
  <c r="E141" i="1"/>
  <c r="D141" i="1"/>
  <c r="C141" i="1"/>
  <c r="B141" i="1"/>
  <c r="A141" i="1"/>
  <c r="K141" i="1" s="1"/>
  <c r="G141" i="1" s="1"/>
  <c r="H141" i="1" s="1"/>
  <c r="J141" i="1" s="1"/>
  <c r="K140" i="1"/>
  <c r="G140" i="1" s="1"/>
  <c r="H140" i="1" s="1"/>
  <c r="J140" i="1"/>
  <c r="E140" i="1"/>
  <c r="D140" i="1"/>
  <c r="C140" i="1"/>
  <c r="B140" i="1"/>
  <c r="A140" i="1"/>
  <c r="E139" i="1"/>
  <c r="D139" i="1"/>
  <c r="C139" i="1"/>
  <c r="B139" i="1"/>
  <c r="A139" i="1"/>
  <c r="K139" i="1" s="1"/>
  <c r="G139" i="1" s="1"/>
  <c r="H139" i="1" s="1"/>
  <c r="J139" i="1" s="1"/>
  <c r="K138" i="1"/>
  <c r="H138" i="1"/>
  <c r="J138" i="1" s="1"/>
  <c r="G138" i="1"/>
  <c r="E138" i="1"/>
  <c r="D138" i="1"/>
  <c r="C138" i="1"/>
  <c r="B138" i="1"/>
  <c r="A138" i="1"/>
  <c r="E137" i="1"/>
  <c r="D137" i="1"/>
  <c r="C137" i="1"/>
  <c r="B137" i="1"/>
  <c r="A137" i="1"/>
  <c r="K137" i="1" s="1"/>
  <c r="G137" i="1" s="1"/>
  <c r="H137" i="1" s="1"/>
  <c r="J137" i="1" s="1"/>
  <c r="E136" i="1"/>
  <c r="D136" i="1"/>
  <c r="C136" i="1"/>
  <c r="B136" i="1"/>
  <c r="A136" i="1"/>
  <c r="K136" i="1" s="1"/>
  <c r="G136" i="1" s="1"/>
  <c r="H136" i="1" s="1"/>
  <c r="J136" i="1" s="1"/>
  <c r="K135" i="1"/>
  <c r="G135" i="1" s="1"/>
  <c r="H135" i="1" s="1"/>
  <c r="J135" i="1" s="1"/>
  <c r="E135" i="1"/>
  <c r="D135" i="1"/>
  <c r="C135" i="1"/>
  <c r="B135" i="1"/>
  <c r="A135" i="1"/>
  <c r="K134" i="1"/>
  <c r="G134" i="1"/>
  <c r="E134" i="1"/>
  <c r="D134" i="1"/>
  <c r="C134" i="1"/>
  <c r="B134" i="1"/>
  <c r="A134" i="1"/>
  <c r="K133" i="1"/>
  <c r="G133" i="1" s="1"/>
  <c r="H133" i="1" s="1"/>
  <c r="J133" i="1" s="1"/>
  <c r="E133" i="1"/>
  <c r="D133" i="1"/>
  <c r="C133" i="1"/>
  <c r="B133" i="1"/>
  <c r="A133" i="1"/>
  <c r="E132" i="1"/>
  <c r="D132" i="1"/>
  <c r="C132" i="1"/>
  <c r="B132" i="1"/>
  <c r="A132" i="1"/>
  <c r="K132" i="1" s="1"/>
  <c r="G132" i="1" s="1"/>
  <c r="H132" i="1" s="1"/>
  <c r="J132" i="1" s="1"/>
  <c r="K131" i="1"/>
  <c r="G131" i="1" s="1"/>
  <c r="H131" i="1" s="1"/>
  <c r="J131" i="1" s="1"/>
  <c r="E131" i="1"/>
  <c r="D131" i="1"/>
  <c r="C131" i="1"/>
  <c r="B131" i="1"/>
  <c r="A131" i="1"/>
  <c r="E130" i="1"/>
  <c r="D130" i="1"/>
  <c r="C130" i="1"/>
  <c r="B130" i="1"/>
  <c r="A130" i="1"/>
  <c r="K130" i="1" s="1"/>
  <c r="G130" i="1" s="1"/>
  <c r="H130" i="1" s="1"/>
  <c r="J130" i="1" s="1"/>
  <c r="K129" i="1"/>
  <c r="G129" i="1" s="1"/>
  <c r="J129" i="1"/>
  <c r="H129" i="1"/>
  <c r="E129" i="1"/>
  <c r="D129" i="1"/>
  <c r="C129" i="1"/>
  <c r="B129" i="1"/>
  <c r="A129" i="1"/>
  <c r="B128" i="1"/>
  <c r="A128" i="1"/>
  <c r="E127" i="1"/>
  <c r="D127" i="1"/>
  <c r="C127" i="1"/>
  <c r="B127" i="1"/>
  <c r="A127" i="1"/>
  <c r="K127" i="1" s="1"/>
  <c r="G127" i="1" s="1"/>
  <c r="H127" i="1" s="1"/>
  <c r="J127" i="1" s="1"/>
  <c r="K126" i="1"/>
  <c r="G126" i="1" s="1"/>
  <c r="H126" i="1"/>
  <c r="J126" i="1" s="1"/>
  <c r="E126" i="1"/>
  <c r="D126" i="1"/>
  <c r="C126" i="1"/>
  <c r="B126" i="1"/>
  <c r="A126" i="1"/>
  <c r="E125" i="1"/>
  <c r="D125" i="1"/>
  <c r="C125" i="1"/>
  <c r="B125" i="1"/>
  <c r="A125" i="1"/>
  <c r="K125" i="1" s="1"/>
  <c r="G125" i="1" s="1"/>
  <c r="H125" i="1" s="1"/>
  <c r="J125" i="1" s="1"/>
  <c r="K124" i="1"/>
  <c r="G124" i="1"/>
  <c r="H124" i="1" s="1"/>
  <c r="J124" i="1" s="1"/>
  <c r="E124" i="1"/>
  <c r="D124" i="1"/>
  <c r="C124" i="1"/>
  <c r="B124" i="1"/>
  <c r="A124" i="1"/>
  <c r="E123" i="1"/>
  <c r="D123" i="1"/>
  <c r="C123" i="1"/>
  <c r="B123" i="1"/>
  <c r="A123" i="1"/>
  <c r="K123" i="1" s="1"/>
  <c r="G123" i="1" s="1"/>
  <c r="H123" i="1" s="1"/>
  <c r="J123" i="1" s="1"/>
  <c r="E122" i="1"/>
  <c r="D122" i="1"/>
  <c r="C122" i="1"/>
  <c r="B122" i="1"/>
  <c r="A122" i="1"/>
  <c r="K122" i="1" s="1"/>
  <c r="G122" i="1" s="1"/>
  <c r="H122" i="1" s="1"/>
  <c r="J122" i="1" s="1"/>
  <c r="K121" i="1"/>
  <c r="G121" i="1" s="1"/>
  <c r="H121" i="1" s="1"/>
  <c r="J121" i="1" s="1"/>
  <c r="E121" i="1"/>
  <c r="D121" i="1"/>
  <c r="C121" i="1"/>
  <c r="B121" i="1"/>
  <c r="A121" i="1"/>
  <c r="E120" i="1"/>
  <c r="D120" i="1"/>
  <c r="C120" i="1"/>
  <c r="B120" i="1"/>
  <c r="A120" i="1"/>
  <c r="K120" i="1" s="1"/>
  <c r="G120" i="1" s="1"/>
  <c r="H120" i="1" s="1"/>
  <c r="J120" i="1" s="1"/>
  <c r="K119" i="1"/>
  <c r="G119" i="1" s="1"/>
  <c r="H119" i="1" s="1"/>
  <c r="J119" i="1" s="1"/>
  <c r="E119" i="1"/>
  <c r="D119" i="1"/>
  <c r="C119" i="1"/>
  <c r="B119" i="1"/>
  <c r="A119" i="1"/>
  <c r="E118" i="1"/>
  <c r="D118" i="1"/>
  <c r="C118" i="1"/>
  <c r="B118" i="1"/>
  <c r="A118" i="1"/>
  <c r="K118" i="1" s="1"/>
  <c r="G118" i="1" s="1"/>
  <c r="H118" i="1" s="1"/>
  <c r="J118" i="1" s="1"/>
  <c r="K117" i="1"/>
  <c r="G117" i="1" s="1"/>
  <c r="H117" i="1" s="1"/>
  <c r="J117" i="1"/>
  <c r="E117" i="1"/>
  <c r="D117" i="1"/>
  <c r="C117" i="1"/>
  <c r="B117" i="1"/>
  <c r="A117" i="1"/>
  <c r="E116" i="1"/>
  <c r="D116" i="1"/>
  <c r="C116" i="1"/>
  <c r="B116" i="1"/>
  <c r="A116" i="1"/>
  <c r="K116" i="1" s="1"/>
  <c r="G116" i="1" s="1"/>
  <c r="H116" i="1" s="1"/>
  <c r="J116" i="1" s="1"/>
  <c r="K115" i="1"/>
  <c r="G115" i="1"/>
  <c r="H115" i="1" s="1"/>
  <c r="J115" i="1" s="1"/>
  <c r="E115" i="1"/>
  <c r="D115" i="1"/>
  <c r="C115" i="1"/>
  <c r="B115" i="1"/>
  <c r="A115" i="1"/>
  <c r="E114" i="1"/>
  <c r="D114" i="1"/>
  <c r="C114" i="1"/>
  <c r="B114" i="1"/>
  <c r="A114" i="1"/>
  <c r="K114" i="1" s="1"/>
  <c r="G114" i="1" s="1"/>
  <c r="H114" i="1" s="1"/>
  <c r="J114" i="1" s="1"/>
  <c r="E113" i="1"/>
  <c r="D113" i="1"/>
  <c r="C113" i="1"/>
  <c r="B113" i="1"/>
  <c r="A113" i="1"/>
  <c r="K113" i="1" s="1"/>
  <c r="G113" i="1" s="1"/>
  <c r="H113" i="1" s="1"/>
  <c r="J113" i="1" s="1"/>
  <c r="K112" i="1"/>
  <c r="G112" i="1" s="1"/>
  <c r="H112" i="1" s="1"/>
  <c r="J112" i="1" s="1"/>
  <c r="E112" i="1"/>
  <c r="D112" i="1"/>
  <c r="C112" i="1"/>
  <c r="B112" i="1"/>
  <c r="A112" i="1"/>
  <c r="K111" i="1"/>
  <c r="G111" i="1"/>
  <c r="H111" i="1" s="1"/>
  <c r="J111" i="1" s="1"/>
  <c r="E111" i="1"/>
  <c r="D111" i="1"/>
  <c r="C111" i="1"/>
  <c r="B111" i="1"/>
  <c r="A111" i="1"/>
  <c r="K110" i="1"/>
  <c r="G110" i="1" s="1"/>
  <c r="H110" i="1" s="1"/>
  <c r="J110" i="1" s="1"/>
  <c r="E110" i="1"/>
  <c r="D110" i="1"/>
  <c r="C110" i="1"/>
  <c r="B110" i="1"/>
  <c r="A110" i="1"/>
  <c r="B109" i="1"/>
  <c r="A109" i="1"/>
  <c r="K108" i="1"/>
  <c r="G108" i="1"/>
  <c r="H108" i="1" s="1"/>
  <c r="J108" i="1" s="1"/>
  <c r="E108" i="1"/>
  <c r="D108" i="1"/>
  <c r="C108" i="1"/>
  <c r="B108" i="1"/>
  <c r="A108" i="1"/>
  <c r="K107" i="1"/>
  <c r="G107" i="1" s="1"/>
  <c r="H107" i="1" s="1"/>
  <c r="J107" i="1" s="1"/>
  <c r="E107" i="1"/>
  <c r="D107" i="1"/>
  <c r="C107" i="1"/>
  <c r="B107" i="1"/>
  <c r="A107" i="1"/>
  <c r="E106" i="1"/>
  <c r="D106" i="1"/>
  <c r="C106" i="1"/>
  <c r="B106" i="1"/>
  <c r="A106" i="1"/>
  <c r="K106" i="1" s="1"/>
  <c r="G106" i="1" s="1"/>
  <c r="H106" i="1" s="1"/>
  <c r="J106" i="1" s="1"/>
  <c r="K105" i="1"/>
  <c r="G105" i="1" s="1"/>
  <c r="H105" i="1" s="1"/>
  <c r="J105" i="1" s="1"/>
  <c r="E105" i="1"/>
  <c r="D105" i="1"/>
  <c r="C105" i="1"/>
  <c r="B105" i="1"/>
  <c r="A105" i="1"/>
  <c r="E104" i="1"/>
  <c r="D104" i="1"/>
  <c r="C104" i="1"/>
  <c r="B104" i="1"/>
  <c r="A104" i="1"/>
  <c r="K104" i="1" s="1"/>
  <c r="G104" i="1" s="1"/>
  <c r="H104" i="1" s="1"/>
  <c r="J104" i="1" s="1"/>
  <c r="K103" i="1"/>
  <c r="G103" i="1" s="1"/>
  <c r="H103" i="1" s="1"/>
  <c r="J103" i="1" s="1"/>
  <c r="E103" i="1"/>
  <c r="D103" i="1"/>
  <c r="C103" i="1"/>
  <c r="B103" i="1"/>
  <c r="A103" i="1"/>
  <c r="E102" i="1"/>
  <c r="D102" i="1"/>
  <c r="C102" i="1"/>
  <c r="B102" i="1"/>
  <c r="A102" i="1"/>
  <c r="K102" i="1" s="1"/>
  <c r="G102" i="1" s="1"/>
  <c r="H102" i="1" s="1"/>
  <c r="J102" i="1" s="1"/>
  <c r="K101" i="1"/>
  <c r="H101" i="1"/>
  <c r="J101" i="1" s="1"/>
  <c r="G101" i="1"/>
  <c r="E101" i="1"/>
  <c r="D101" i="1"/>
  <c r="C101" i="1"/>
  <c r="B101" i="1"/>
  <c r="A101" i="1"/>
  <c r="E100" i="1"/>
  <c r="D100" i="1"/>
  <c r="C100" i="1"/>
  <c r="B100" i="1"/>
  <c r="A100" i="1"/>
  <c r="K100" i="1" s="1"/>
  <c r="G100" i="1" s="1"/>
  <c r="H100" i="1" s="1"/>
  <c r="J100" i="1" s="1"/>
  <c r="E99" i="1"/>
  <c r="D99" i="1"/>
  <c r="C99" i="1"/>
  <c r="B99" i="1"/>
  <c r="A99" i="1"/>
  <c r="K99" i="1" s="1"/>
  <c r="G99" i="1" s="1"/>
  <c r="H99" i="1" s="1"/>
  <c r="J99" i="1" s="1"/>
  <c r="K98" i="1"/>
  <c r="G98" i="1" s="1"/>
  <c r="H98" i="1" s="1"/>
  <c r="J98" i="1" s="1"/>
  <c r="E98" i="1"/>
  <c r="D98" i="1"/>
  <c r="C98" i="1"/>
  <c r="B98" i="1"/>
  <c r="A98" i="1"/>
  <c r="E97" i="1"/>
  <c r="D97" i="1"/>
  <c r="C97" i="1"/>
  <c r="B97" i="1"/>
  <c r="A97" i="1"/>
  <c r="K97" i="1" s="1"/>
  <c r="G97" i="1" s="1"/>
  <c r="H97" i="1" s="1"/>
  <c r="J97" i="1" s="1"/>
  <c r="K96" i="1"/>
  <c r="G96" i="1" s="1"/>
  <c r="H96" i="1" s="1"/>
  <c r="J96" i="1" s="1"/>
  <c r="E96" i="1"/>
  <c r="D96" i="1"/>
  <c r="C96" i="1"/>
  <c r="B96" i="1"/>
  <c r="A96" i="1"/>
  <c r="E95" i="1"/>
  <c r="D95" i="1"/>
  <c r="C95" i="1"/>
  <c r="B95" i="1"/>
  <c r="A95" i="1"/>
  <c r="K95" i="1" s="1"/>
  <c r="G95" i="1" s="1"/>
  <c r="H95" i="1" s="1"/>
  <c r="J95" i="1" s="1"/>
  <c r="B94" i="1"/>
  <c r="A94" i="1"/>
  <c r="K93" i="1"/>
  <c r="G93" i="1" s="1"/>
  <c r="H93" i="1" s="1"/>
  <c r="J93" i="1" s="1"/>
  <c r="E93" i="1"/>
  <c r="D93" i="1"/>
  <c r="C93" i="1"/>
  <c r="B93" i="1"/>
  <c r="A93" i="1"/>
  <c r="E92" i="1"/>
  <c r="D92" i="1"/>
  <c r="C92" i="1"/>
  <c r="B92" i="1"/>
  <c r="A92" i="1"/>
  <c r="K92" i="1" s="1"/>
  <c r="G92" i="1" s="1"/>
  <c r="H92" i="1" s="1"/>
  <c r="J92" i="1" s="1"/>
  <c r="K91" i="1"/>
  <c r="G91" i="1" s="1"/>
  <c r="H91" i="1" s="1"/>
  <c r="J91" i="1"/>
  <c r="E91" i="1"/>
  <c r="D91" i="1"/>
  <c r="C91" i="1"/>
  <c r="B91" i="1"/>
  <c r="A91" i="1"/>
  <c r="E90" i="1"/>
  <c r="D90" i="1"/>
  <c r="C90" i="1"/>
  <c r="B90" i="1"/>
  <c r="A90" i="1"/>
  <c r="K90" i="1" s="1"/>
  <c r="G90" i="1" s="1"/>
  <c r="H90" i="1" s="1"/>
  <c r="J90" i="1" s="1"/>
  <c r="K89" i="1"/>
  <c r="G89" i="1"/>
  <c r="H89" i="1" s="1"/>
  <c r="J89" i="1" s="1"/>
  <c r="E89" i="1"/>
  <c r="D89" i="1"/>
  <c r="C89" i="1"/>
  <c r="B89" i="1"/>
  <c r="A89" i="1"/>
  <c r="E88" i="1"/>
  <c r="D88" i="1"/>
  <c r="C88" i="1"/>
  <c r="B88" i="1"/>
  <c r="A88" i="1"/>
  <c r="K88" i="1" s="1"/>
  <c r="G88" i="1" s="1"/>
  <c r="H88" i="1" s="1"/>
  <c r="J88" i="1" s="1"/>
  <c r="G87" i="1"/>
  <c r="H87" i="1" s="1"/>
  <c r="J87" i="1" s="1"/>
  <c r="E87" i="1"/>
  <c r="D87" i="1"/>
  <c r="C87" i="1"/>
  <c r="B87" i="1"/>
  <c r="A87" i="1"/>
  <c r="K87" i="1" s="1"/>
  <c r="K86" i="1"/>
  <c r="G86" i="1" s="1"/>
  <c r="H86" i="1" s="1"/>
  <c r="J86" i="1" s="1"/>
  <c r="E86" i="1"/>
  <c r="D86" i="1"/>
  <c r="C86" i="1"/>
  <c r="B86" i="1"/>
  <c r="A86" i="1"/>
  <c r="K85" i="1"/>
  <c r="G85" i="1"/>
  <c r="E85" i="1"/>
  <c r="D85" i="1"/>
  <c r="C85" i="1"/>
  <c r="B85" i="1"/>
  <c r="A85" i="1"/>
  <c r="K84" i="1"/>
  <c r="G84" i="1" s="1"/>
  <c r="H84" i="1" s="1"/>
  <c r="J84" i="1" s="1"/>
  <c r="E84" i="1"/>
  <c r="D84" i="1"/>
  <c r="C84" i="1"/>
  <c r="B84" i="1"/>
  <c r="A84" i="1"/>
  <c r="E83" i="1"/>
  <c r="D83" i="1"/>
  <c r="C83" i="1"/>
  <c r="B83" i="1"/>
  <c r="A83" i="1"/>
  <c r="K83" i="1" s="1"/>
  <c r="G83" i="1" s="1"/>
  <c r="H83" i="1" s="1"/>
  <c r="J83" i="1" s="1"/>
  <c r="K82" i="1"/>
  <c r="G82" i="1" s="1"/>
  <c r="H82" i="1" s="1"/>
  <c r="J82" i="1" s="1"/>
  <c r="E82" i="1"/>
  <c r="D82" i="1"/>
  <c r="C82" i="1"/>
  <c r="B82" i="1"/>
  <c r="A82" i="1"/>
  <c r="E81" i="1"/>
  <c r="D81" i="1"/>
  <c r="C81" i="1"/>
  <c r="B81" i="1"/>
  <c r="A81" i="1"/>
  <c r="K81" i="1" s="1"/>
  <c r="G81" i="1" s="1"/>
  <c r="H81" i="1" s="1"/>
  <c r="J81" i="1" s="1"/>
  <c r="K80" i="1"/>
  <c r="G80" i="1" s="1"/>
  <c r="J80" i="1"/>
  <c r="H80" i="1"/>
  <c r="E80" i="1"/>
  <c r="D80" i="1"/>
  <c r="C80" i="1"/>
  <c r="B80" i="1"/>
  <c r="A80" i="1"/>
  <c r="B79" i="1"/>
  <c r="A79" i="1"/>
  <c r="E78" i="1"/>
  <c r="D78" i="1"/>
  <c r="C78" i="1"/>
  <c r="B78" i="1"/>
  <c r="A78" i="1"/>
  <c r="K78" i="1" s="1"/>
  <c r="G78" i="1" s="1"/>
  <c r="H78" i="1" s="1"/>
  <c r="J78" i="1" s="1"/>
  <c r="K77" i="1"/>
  <c r="G77" i="1" s="1"/>
  <c r="H77" i="1"/>
  <c r="J77" i="1" s="1"/>
  <c r="E77" i="1"/>
  <c r="D77" i="1"/>
  <c r="C77" i="1"/>
  <c r="B77" i="1"/>
  <c r="A77" i="1"/>
  <c r="E76" i="1"/>
  <c r="D76" i="1"/>
  <c r="C76" i="1"/>
  <c r="B76" i="1"/>
  <c r="A76" i="1"/>
  <c r="K76" i="1" s="1"/>
  <c r="G76" i="1" s="1"/>
  <c r="H76" i="1" s="1"/>
  <c r="J76" i="1" s="1"/>
  <c r="K75" i="1"/>
  <c r="G75" i="1"/>
  <c r="H75" i="1" s="1"/>
  <c r="J75" i="1" s="1"/>
  <c r="E75" i="1"/>
  <c r="D75" i="1"/>
  <c r="C75" i="1"/>
  <c r="B75" i="1"/>
  <c r="A75" i="1"/>
  <c r="E74" i="1"/>
  <c r="D74" i="1"/>
  <c r="C74" i="1"/>
  <c r="B74" i="1"/>
  <c r="A74" i="1"/>
  <c r="K74" i="1" s="1"/>
  <c r="G74" i="1" s="1"/>
  <c r="H74" i="1" s="1"/>
  <c r="J74" i="1" s="1"/>
  <c r="E73" i="1"/>
  <c r="D73" i="1"/>
  <c r="C73" i="1"/>
  <c r="B73" i="1"/>
  <c r="A73" i="1"/>
  <c r="K73" i="1" s="1"/>
  <c r="G73" i="1" s="1"/>
  <c r="H73" i="1" s="1"/>
  <c r="J73" i="1" s="1"/>
  <c r="K72" i="1"/>
  <c r="G72" i="1" s="1"/>
  <c r="H72" i="1" s="1"/>
  <c r="J72" i="1" s="1"/>
  <c r="E72" i="1"/>
  <c r="D72" i="1"/>
  <c r="C72" i="1"/>
  <c r="B72" i="1"/>
  <c r="A72" i="1"/>
  <c r="E71" i="1"/>
  <c r="D71" i="1"/>
  <c r="C71" i="1"/>
  <c r="B71" i="1"/>
  <c r="A71" i="1"/>
  <c r="K71" i="1" s="1"/>
  <c r="G71" i="1" s="1"/>
  <c r="H71" i="1" s="1"/>
  <c r="J71" i="1" s="1"/>
  <c r="K70" i="1"/>
  <c r="G70" i="1" s="1"/>
  <c r="H70" i="1" s="1"/>
  <c r="J70" i="1" s="1"/>
  <c r="E70" i="1"/>
  <c r="D70" i="1"/>
  <c r="C70" i="1"/>
  <c r="B70" i="1"/>
  <c r="A70" i="1"/>
  <c r="E69" i="1"/>
  <c r="D69" i="1"/>
  <c r="C69" i="1"/>
  <c r="B69" i="1"/>
  <c r="A69" i="1"/>
  <c r="K69" i="1" s="1"/>
  <c r="G69" i="1" s="1"/>
  <c r="H69" i="1" s="1"/>
  <c r="J69" i="1" s="1"/>
  <c r="K68" i="1"/>
  <c r="G68" i="1" s="1"/>
  <c r="H68" i="1" s="1"/>
  <c r="J68" i="1" s="1"/>
  <c r="E68" i="1"/>
  <c r="D68" i="1"/>
  <c r="C68" i="1"/>
  <c r="B68" i="1"/>
  <c r="A68" i="1"/>
  <c r="E67" i="1"/>
  <c r="D67" i="1"/>
  <c r="C67" i="1"/>
  <c r="B67" i="1"/>
  <c r="A67" i="1"/>
  <c r="K67" i="1" s="1"/>
  <c r="G67" i="1" s="1"/>
  <c r="H67" i="1" s="1"/>
  <c r="J67" i="1" s="1"/>
  <c r="K66" i="1"/>
  <c r="G66" i="1"/>
  <c r="H66" i="1" s="1"/>
  <c r="J66" i="1" s="1"/>
  <c r="E66" i="1"/>
  <c r="D66" i="1"/>
  <c r="C66" i="1"/>
  <c r="B66" i="1"/>
  <c r="A66" i="1"/>
  <c r="E65" i="1"/>
  <c r="D65" i="1"/>
  <c r="C65" i="1"/>
  <c r="B65" i="1"/>
  <c r="A65" i="1"/>
  <c r="K65" i="1" s="1"/>
  <c r="G65" i="1" s="1"/>
  <c r="H65" i="1" s="1"/>
  <c r="J65" i="1" s="1"/>
  <c r="E64" i="1"/>
  <c r="D64" i="1"/>
  <c r="C64" i="1"/>
  <c r="B64" i="1"/>
  <c r="A64" i="1"/>
  <c r="K64" i="1" s="1"/>
  <c r="G64" i="1" s="1"/>
  <c r="H64" i="1" s="1"/>
  <c r="J64" i="1" s="1"/>
  <c r="K63" i="1"/>
  <c r="G63" i="1" s="1"/>
  <c r="H63" i="1" s="1"/>
  <c r="J63" i="1" s="1"/>
  <c r="E63" i="1"/>
  <c r="D63" i="1"/>
  <c r="C63" i="1"/>
  <c r="B63" i="1"/>
  <c r="A63" i="1"/>
  <c r="K62" i="1"/>
  <c r="G62" i="1"/>
  <c r="H62" i="1" s="1"/>
  <c r="J62" i="1" s="1"/>
  <c r="E62" i="1"/>
  <c r="D62" i="1"/>
  <c r="C62" i="1"/>
  <c r="B62" i="1"/>
  <c r="A62" i="1"/>
  <c r="K61" i="1"/>
  <c r="G61" i="1" s="1"/>
  <c r="H61" i="1" s="1"/>
  <c r="J61" i="1" s="1"/>
  <c r="E61" i="1"/>
  <c r="D61" i="1"/>
  <c r="C61" i="1"/>
  <c r="B61" i="1"/>
  <c r="A61" i="1"/>
  <c r="E60" i="1"/>
  <c r="D60" i="1"/>
  <c r="C60" i="1"/>
  <c r="B60" i="1"/>
  <c r="A60" i="1"/>
  <c r="K60" i="1" s="1"/>
  <c r="G60" i="1" s="1"/>
  <c r="H60" i="1" s="1"/>
  <c r="J60" i="1" s="1"/>
  <c r="K59" i="1"/>
  <c r="G59" i="1" s="1"/>
  <c r="H59" i="1" s="1"/>
  <c r="J59" i="1" s="1"/>
  <c r="E59" i="1"/>
  <c r="D59" i="1"/>
  <c r="C59" i="1"/>
  <c r="B59" i="1"/>
  <c r="A59" i="1"/>
  <c r="E58" i="1"/>
  <c r="D58" i="1"/>
  <c r="C58" i="1"/>
  <c r="B58" i="1"/>
  <c r="A58" i="1"/>
  <c r="K58" i="1" s="1"/>
  <c r="G58" i="1" s="1"/>
  <c r="H58" i="1" s="1"/>
  <c r="J58" i="1" s="1"/>
  <c r="K57" i="1"/>
  <c r="G57" i="1" s="1"/>
  <c r="H57" i="1"/>
  <c r="J57" i="1" s="1"/>
  <c r="E57" i="1"/>
  <c r="D57" i="1"/>
  <c r="C57" i="1"/>
  <c r="B57" i="1"/>
  <c r="A57" i="1"/>
  <c r="E56" i="1"/>
  <c r="D56" i="1"/>
  <c r="C56" i="1"/>
  <c r="B56" i="1"/>
  <c r="A56" i="1"/>
  <c r="K56" i="1" s="1"/>
  <c r="G56" i="1" s="1"/>
  <c r="H56" i="1" s="1"/>
  <c r="J56" i="1" s="1"/>
  <c r="K55" i="1"/>
  <c r="G55" i="1"/>
  <c r="H55" i="1" s="1"/>
  <c r="J55" i="1" s="1"/>
  <c r="E55" i="1"/>
  <c r="D55" i="1"/>
  <c r="C55" i="1"/>
  <c r="B55" i="1"/>
  <c r="A55" i="1"/>
  <c r="E54" i="1"/>
  <c r="D54" i="1"/>
  <c r="C54" i="1"/>
  <c r="B54" i="1"/>
  <c r="A54" i="1"/>
  <c r="K54" i="1" s="1"/>
  <c r="G54" i="1" s="1"/>
  <c r="H54" i="1" s="1"/>
  <c r="J54" i="1" s="1"/>
  <c r="E53" i="1"/>
  <c r="D53" i="1"/>
  <c r="C53" i="1"/>
  <c r="B53" i="1"/>
  <c r="A53" i="1"/>
  <c r="K53" i="1" s="1"/>
  <c r="G53" i="1" s="1"/>
  <c r="H53" i="1" s="1"/>
  <c r="J53" i="1" s="1"/>
  <c r="K52" i="1"/>
  <c r="G52" i="1" s="1"/>
  <c r="H52" i="1" s="1"/>
  <c r="J52" i="1" s="1"/>
  <c r="E52" i="1"/>
  <c r="D52" i="1"/>
  <c r="C52" i="1"/>
  <c r="B52" i="1"/>
  <c r="A52" i="1"/>
  <c r="E51" i="1"/>
  <c r="D51" i="1"/>
  <c r="C51" i="1"/>
  <c r="B51" i="1"/>
  <c r="A51" i="1"/>
  <c r="K51" i="1" s="1"/>
  <c r="G51" i="1" s="1"/>
  <c r="H51" i="1" s="1"/>
  <c r="J51" i="1" s="1"/>
  <c r="K50" i="1"/>
  <c r="H50" i="1"/>
  <c r="J50" i="1" s="1"/>
  <c r="G50" i="1"/>
  <c r="E50" i="1"/>
  <c r="D50" i="1"/>
  <c r="C50" i="1"/>
  <c r="B50" i="1"/>
  <c r="A50" i="1"/>
  <c r="B49" i="1"/>
  <c r="A49" i="1"/>
  <c r="B48" i="1"/>
  <c r="A48" i="1"/>
  <c r="E47" i="1"/>
  <c r="D47" i="1"/>
  <c r="C47" i="1"/>
  <c r="B47" i="1"/>
  <c r="A47" i="1"/>
  <c r="K47" i="1" s="1"/>
  <c r="G47" i="1" s="1"/>
  <c r="H47" i="1" s="1"/>
  <c r="J47" i="1" s="1"/>
  <c r="K46" i="1"/>
  <c r="G46" i="1" s="1"/>
  <c r="H46" i="1" s="1"/>
  <c r="J46" i="1" s="1"/>
  <c r="E46" i="1"/>
  <c r="D46" i="1"/>
  <c r="C46" i="1"/>
  <c r="B46" i="1"/>
  <c r="A46" i="1"/>
  <c r="E45" i="1"/>
  <c r="D45" i="1"/>
  <c r="C45" i="1"/>
  <c r="B45" i="1"/>
  <c r="A45" i="1"/>
  <c r="K45" i="1" s="1"/>
  <c r="G45" i="1" s="1"/>
  <c r="H45" i="1" s="1"/>
  <c r="J45" i="1" s="1"/>
  <c r="K44" i="1"/>
  <c r="G44" i="1" s="1"/>
  <c r="H44" i="1" s="1"/>
  <c r="J44" i="1" s="1"/>
  <c r="E44" i="1"/>
  <c r="D44" i="1"/>
  <c r="C44" i="1"/>
  <c r="B44" i="1"/>
  <c r="A44" i="1"/>
  <c r="E43" i="1"/>
  <c r="D43" i="1"/>
  <c r="C43" i="1"/>
  <c r="B43" i="1"/>
  <c r="A43" i="1"/>
  <c r="K43" i="1" s="1"/>
  <c r="G43" i="1" s="1"/>
  <c r="H43" i="1" s="1"/>
  <c r="J43" i="1" s="1"/>
  <c r="K42" i="1"/>
  <c r="G42" i="1" s="1"/>
  <c r="H42" i="1" s="1"/>
  <c r="J42" i="1"/>
  <c r="E42" i="1"/>
  <c r="D42" i="1"/>
  <c r="C42" i="1"/>
  <c r="B42" i="1"/>
  <c r="A42" i="1"/>
  <c r="E41" i="1"/>
  <c r="D41" i="1"/>
  <c r="C41" i="1"/>
  <c r="B41" i="1"/>
  <c r="A41" i="1"/>
  <c r="K41" i="1" s="1"/>
  <c r="G41" i="1" s="1"/>
  <c r="H41" i="1" s="1"/>
  <c r="J41" i="1" s="1"/>
  <c r="K40" i="1"/>
  <c r="G40" i="1"/>
  <c r="H40" i="1" s="1"/>
  <c r="J40" i="1" s="1"/>
  <c r="E40" i="1"/>
  <c r="D40" i="1"/>
  <c r="C40" i="1"/>
  <c r="B40" i="1"/>
  <c r="A40" i="1"/>
  <c r="E39" i="1"/>
  <c r="D39" i="1"/>
  <c r="C39" i="1"/>
  <c r="B39" i="1"/>
  <c r="A39" i="1"/>
  <c r="K39" i="1" s="1"/>
  <c r="G39" i="1" s="1"/>
  <c r="H39" i="1" s="1"/>
  <c r="J39" i="1" s="1"/>
  <c r="E38" i="1"/>
  <c r="D38" i="1"/>
  <c r="C38" i="1"/>
  <c r="B38" i="1"/>
  <c r="A38" i="1"/>
  <c r="K38" i="1" s="1"/>
  <c r="G38" i="1" s="1"/>
  <c r="H38" i="1" s="1"/>
  <c r="J38" i="1" s="1"/>
  <c r="K37" i="1"/>
  <c r="G37" i="1" s="1"/>
  <c r="H37" i="1" s="1"/>
  <c r="J37" i="1" s="1"/>
  <c r="E37" i="1"/>
  <c r="D37" i="1"/>
  <c r="C37" i="1"/>
  <c r="B37" i="1"/>
  <c r="A37" i="1"/>
  <c r="E36" i="1"/>
  <c r="D36" i="1"/>
  <c r="C36" i="1"/>
  <c r="B36" i="1"/>
  <c r="A36" i="1"/>
  <c r="K36" i="1" s="1"/>
  <c r="G36" i="1" s="1"/>
  <c r="H36" i="1" s="1"/>
  <c r="J36" i="1" s="1"/>
  <c r="K35" i="1"/>
  <c r="G35" i="1" s="1"/>
  <c r="H35" i="1" s="1"/>
  <c r="J35" i="1" s="1"/>
  <c r="E35" i="1"/>
  <c r="D35" i="1"/>
  <c r="C35" i="1"/>
  <c r="B35" i="1"/>
  <c r="A35" i="1"/>
  <c r="E34" i="1"/>
  <c r="D34" i="1"/>
  <c r="C34" i="1"/>
  <c r="B34" i="1"/>
  <c r="A34" i="1"/>
  <c r="K34" i="1" s="1"/>
  <c r="G34" i="1" s="1"/>
  <c r="H34" i="1" s="1"/>
  <c r="J34" i="1" s="1"/>
  <c r="K33" i="1"/>
  <c r="G33" i="1" s="1"/>
  <c r="H33" i="1" s="1"/>
  <c r="J33" i="1" s="1"/>
  <c r="E33" i="1"/>
  <c r="D33" i="1"/>
  <c r="C33" i="1"/>
  <c r="B33" i="1"/>
  <c r="A33" i="1"/>
  <c r="E32" i="1"/>
  <c r="D32" i="1"/>
  <c r="C32" i="1"/>
  <c r="B32" i="1"/>
  <c r="A32" i="1"/>
  <c r="K32" i="1" s="1"/>
  <c r="G32" i="1" s="1"/>
  <c r="H32" i="1" s="1"/>
  <c r="J32" i="1" s="1"/>
  <c r="K31" i="1"/>
  <c r="G31" i="1" s="1"/>
  <c r="H31" i="1"/>
  <c r="J31" i="1" s="1"/>
  <c r="E31" i="1"/>
  <c r="D31" i="1"/>
  <c r="C31" i="1"/>
  <c r="B31" i="1"/>
  <c r="A31" i="1"/>
  <c r="E30" i="1"/>
  <c r="D30" i="1"/>
  <c r="C30" i="1"/>
  <c r="B30" i="1"/>
  <c r="A30" i="1"/>
  <c r="K30" i="1" s="1"/>
  <c r="G30" i="1" s="1"/>
  <c r="H30" i="1" s="1"/>
  <c r="J30" i="1" s="1"/>
  <c r="K29" i="1"/>
  <c r="G29" i="1"/>
  <c r="H29" i="1" s="1"/>
  <c r="J29" i="1" s="1"/>
  <c r="E29" i="1"/>
  <c r="D29" i="1"/>
  <c r="C29" i="1"/>
  <c r="B29" i="1"/>
  <c r="A29" i="1"/>
  <c r="E28" i="1"/>
  <c r="D28" i="1"/>
  <c r="C28" i="1"/>
  <c r="B28" i="1"/>
  <c r="A28" i="1"/>
  <c r="K28" i="1" s="1"/>
  <c r="G28" i="1" s="1"/>
  <c r="H28" i="1" s="1"/>
  <c r="J28" i="1" s="1"/>
  <c r="E27" i="1"/>
  <c r="D27" i="1"/>
  <c r="C27" i="1"/>
  <c r="B27" i="1"/>
  <c r="A27" i="1"/>
  <c r="K27" i="1" s="1"/>
  <c r="G27" i="1" s="1"/>
  <c r="H27" i="1" s="1"/>
  <c r="J27" i="1" s="1"/>
  <c r="K26" i="1"/>
  <c r="G26" i="1" s="1"/>
  <c r="H26" i="1" s="1"/>
  <c r="J26" i="1" s="1"/>
  <c r="E26" i="1"/>
  <c r="D26" i="1"/>
  <c r="C26" i="1"/>
  <c r="B26" i="1"/>
  <c r="A26" i="1"/>
  <c r="E25" i="1"/>
  <c r="D25" i="1"/>
  <c r="C25" i="1"/>
  <c r="B25" i="1"/>
  <c r="A25" i="1"/>
  <c r="K25" i="1" s="1"/>
  <c r="G25" i="1" s="1"/>
  <c r="H25" i="1" s="1"/>
  <c r="J25" i="1" s="1"/>
  <c r="K24" i="1"/>
  <c r="H24" i="1"/>
  <c r="J24" i="1" s="1"/>
  <c r="G24" i="1"/>
  <c r="E24" i="1"/>
  <c r="D24" i="1"/>
  <c r="C24" i="1"/>
  <c r="B24" i="1"/>
  <c r="A24" i="1"/>
  <c r="E23" i="1"/>
  <c r="D23" i="1"/>
  <c r="C23" i="1"/>
  <c r="B23" i="1"/>
  <c r="A23" i="1"/>
  <c r="K23" i="1" s="1"/>
  <c r="G23" i="1" s="1"/>
  <c r="H23" i="1" s="1"/>
  <c r="J23" i="1" s="1"/>
  <c r="K22" i="1"/>
  <c r="G22" i="1" s="1"/>
  <c r="H22" i="1" s="1"/>
  <c r="J22" i="1"/>
  <c r="E22" i="1"/>
  <c r="D22" i="1"/>
  <c r="C22" i="1"/>
  <c r="B22" i="1"/>
  <c r="A22" i="1"/>
  <c r="E21" i="1"/>
  <c r="D21" i="1"/>
  <c r="C21" i="1"/>
  <c r="B21" i="1"/>
  <c r="A21" i="1"/>
  <c r="K21" i="1" s="1"/>
  <c r="G21" i="1" s="1"/>
  <c r="H21" i="1" s="1"/>
  <c r="J21" i="1" s="1"/>
  <c r="K20" i="1"/>
  <c r="G20" i="1"/>
  <c r="H20" i="1" s="1"/>
  <c r="J20" i="1" s="1"/>
  <c r="E20" i="1"/>
  <c r="D20" i="1"/>
  <c r="C20" i="1"/>
  <c r="B20" i="1"/>
  <c r="A20" i="1"/>
  <c r="E19" i="1"/>
  <c r="D19" i="1"/>
  <c r="C19" i="1"/>
  <c r="B19" i="1"/>
  <c r="A19" i="1"/>
  <c r="K19" i="1" s="1"/>
  <c r="G19" i="1" s="1"/>
  <c r="H19" i="1" s="1"/>
  <c r="J19" i="1" s="1"/>
  <c r="B18" i="1"/>
  <c r="A18" i="1"/>
  <c r="K17" i="1"/>
  <c r="G17" i="1"/>
  <c r="E17" i="1"/>
  <c r="D17" i="1"/>
  <c r="C17" i="1"/>
  <c r="B17" i="1"/>
  <c r="A17" i="1"/>
  <c r="B16" i="1"/>
  <c r="A16" i="1"/>
  <c r="E15" i="1"/>
  <c r="D15" i="1"/>
  <c r="C15" i="1"/>
  <c r="B15" i="1"/>
  <c r="A15" i="1"/>
  <c r="K15" i="1" s="1"/>
  <c r="G15" i="1" s="1"/>
  <c r="H15" i="1" s="1"/>
  <c r="J15" i="1" s="1"/>
  <c r="K14" i="1"/>
  <c r="G14" i="1"/>
  <c r="H14" i="1" s="1"/>
  <c r="J14" i="1" s="1"/>
  <c r="E14" i="1"/>
  <c r="D14" i="1"/>
  <c r="C14" i="1"/>
  <c r="B14" i="1"/>
  <c r="A14" i="1"/>
  <c r="E13" i="1"/>
  <c r="D13" i="1"/>
  <c r="C13" i="1"/>
  <c r="B13" i="1"/>
  <c r="A13" i="1"/>
  <c r="K13" i="1" s="1"/>
  <c r="G13" i="1" s="1"/>
  <c r="H13" i="1" s="1"/>
  <c r="J13" i="1" s="1"/>
  <c r="E12" i="1"/>
  <c r="D12" i="1"/>
  <c r="C12" i="1"/>
  <c r="B12" i="1"/>
  <c r="A12" i="1"/>
  <c r="K12" i="1" s="1"/>
  <c r="G12" i="1" s="1"/>
  <c r="H12" i="1" s="1"/>
  <c r="J12" i="1" s="1"/>
  <c r="K11" i="1"/>
  <c r="G11" i="1" s="1"/>
  <c r="H11" i="1" s="1"/>
  <c r="J11" i="1" s="1"/>
  <c r="E11" i="1"/>
  <c r="D11" i="1"/>
  <c r="C11" i="1"/>
  <c r="B11" i="1"/>
  <c r="A11" i="1"/>
  <c r="E10" i="1"/>
  <c r="D10" i="1"/>
  <c r="C10" i="1"/>
  <c r="B10" i="1"/>
  <c r="A10" i="1"/>
  <c r="K10" i="1" s="1"/>
  <c r="G10" i="1" s="1"/>
  <c r="K9" i="1"/>
  <c r="G9" i="1" s="1"/>
  <c r="H9" i="1" s="1"/>
  <c r="J9" i="1" s="1"/>
  <c r="E9" i="1"/>
  <c r="D9" i="1"/>
  <c r="C9" i="1"/>
  <c r="B9" i="1"/>
  <c r="A9" i="1"/>
  <c r="E8" i="1"/>
  <c r="D8" i="1"/>
  <c r="C8" i="1"/>
  <c r="B8" i="1"/>
  <c r="A8" i="1"/>
  <c r="K8" i="1" s="1"/>
  <c r="G8" i="1" s="1"/>
  <c r="H8" i="1" s="1"/>
  <c r="J8" i="1" s="1"/>
  <c r="B7" i="1"/>
  <c r="A7" i="1"/>
  <c r="A3" i="1"/>
  <c r="I2" i="1"/>
  <c r="F2" i="1"/>
  <c r="H2" i="2" l="1"/>
  <c r="J17" i="2"/>
  <c r="H108" i="2"/>
  <c r="J108" i="2" s="1"/>
  <c r="H163" i="2"/>
  <c r="J163" i="2" s="1"/>
  <c r="H127" i="2"/>
  <c r="J127" i="2" s="1"/>
  <c r="H137" i="2"/>
  <c r="J137" i="2" s="1"/>
  <c r="H13" i="2"/>
  <c r="J13" i="2" s="1"/>
  <c r="H67" i="2"/>
  <c r="J67" i="2" s="1"/>
  <c r="H158" i="2"/>
  <c r="J158" i="2" s="1"/>
  <c r="H47" i="2"/>
  <c r="J47" i="2" s="1"/>
  <c r="H149" i="2"/>
  <c r="J149" i="2" s="1"/>
  <c r="H169" i="2"/>
  <c r="J169" i="2" s="1"/>
  <c r="G2" i="2"/>
  <c r="H51" i="2"/>
  <c r="J51" i="2" s="1"/>
  <c r="H114" i="2"/>
  <c r="J114" i="2" s="1"/>
  <c r="H196" i="2"/>
  <c r="J196" i="2" s="1"/>
  <c r="H63" i="2"/>
  <c r="J63" i="2" s="1"/>
  <c r="H72" i="2"/>
  <c r="J72" i="2" s="1"/>
  <c r="H150" i="2"/>
  <c r="J150" i="2" s="1"/>
  <c r="H85" i="1"/>
  <c r="J85" i="1" s="1"/>
  <c r="H134" i="1"/>
  <c r="J134" i="1" s="1"/>
  <c r="H10" i="1"/>
  <c r="J10" i="1" s="1"/>
  <c r="H163" i="1"/>
  <c r="J163" i="1" s="1"/>
  <c r="G2" i="1"/>
  <c r="H17" i="1"/>
  <c r="H166" i="1"/>
  <c r="J166" i="1" s="1"/>
  <c r="J2" i="2" l="1"/>
  <c r="H2" i="1"/>
  <c r="J17" i="1"/>
  <c r="J2" i="1" s="1"/>
</calcChain>
</file>

<file path=xl/sharedStrings.xml><?xml version="1.0" encoding="utf-8"?>
<sst xmlns="http://schemas.openxmlformats.org/spreadsheetml/2006/main" count="26" uniqueCount="13">
  <si>
    <t>Task ID</t>
  </si>
  <si>
    <t>Task Name</t>
  </si>
  <si>
    <t>Weightage</t>
  </si>
  <si>
    <t>Start</t>
  </si>
  <si>
    <t>Finish</t>
  </si>
  <si>
    <t>Planned Qty</t>
  </si>
  <si>
    <t>Actual Qty</t>
  </si>
  <si>
    <t>% of Completion</t>
  </si>
  <si>
    <t>Planned Progress %</t>
  </si>
  <si>
    <t>Progress Variance</t>
  </si>
  <si>
    <t>Actual Cost</t>
  </si>
  <si>
    <t>Progress Remarks</t>
  </si>
  <si>
    <t xml:space="preserve">SIWMF Application Basline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</si>
</sst>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(* #,##0_);_(* \(#,##0\);_(* &quot;-&quot;??_);_(@_)"/>
    <numFmt numFmtId="166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/>
    <xf numFmtId="10" fontId="1" fillId="2" borderId="1" xfId="0" applyNumberFormat="1" applyFont="1" applyFill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0" fontId="2" fillId="0" borderId="1" xfId="0" applyNumberFormat="1" applyFont="1" applyBorder="1"/>
    <xf numFmtId="0" fontId="2" fillId="0" borderId="1" xfId="0" applyFont="1" applyBorder="1"/>
    <xf numFmtId="0" fontId="2" fillId="3" borderId="1" xfId="0" applyFont="1" applyFill="1" applyBorder="1" applyAlignment="1">
      <alignment horizontal="left" vertical="center"/>
    </xf>
    <xf numFmtId="10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/>
    <xf numFmtId="10" fontId="2" fillId="3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15" fontId="2" fillId="3" borderId="2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/>
    <xf numFmtId="0" fontId="2" fillId="3" borderId="1" xfId="0" applyFont="1" applyFill="1" applyBorder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lctechsg-my.sharepoint.com/personal/philip_alctechsg_onmicrosoft_com/Documents/SIWMF%20WB%20&amp;%20Zonal%20Detection/05.%20MONTHLY%20PROGRESS%20REPORT%20(MPR)/MPR%20for%202025%2001%20Jan/Weighbridge%20Project%20Level%20Progress%20S-Curve%20Version%203(Jan-25).xlsx" TargetMode="External"/><Relationship Id="rId2" Type="http://schemas.microsoft.com/office/2019/04/relationships/externalLinkLongPath" Target="https://alctechsg-my.sharepoint.com/personal/philip_alctechsg_onmicrosoft_com/Documents/SIWMF%20WB%20&amp;%20Zonal%20Detection/05.%20MONTHLY%20PROGRESS%20REPORT%20(MPR)/MPR%20for%202025%2001%20Jan/Weighbridge%20Project%20Level%20Progress%20S-Curve%20Version%203(Jan-25).xlsx?2FB4D623" TargetMode="External"/><Relationship Id="rId1" Type="http://schemas.openxmlformats.org/officeDocument/2006/relationships/externalLinkPath" Target="file:///\\2FB4D623\Weighbridge%20Project%20Level%20Progress%20S-Curve%20Version%203(Jan-25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lctechsg-my.sharepoint.com/personal/philip_alctechsg_onmicrosoft_com/Documents/SIWMF%20WB%20&amp;%20Zonal%20Detection/05.%20MONTHLY%20PROGRESS%20REPORT%20(MPR)/MPR%20for%202025%2002%20Feb/Weighbridge%20Project%20Level%20Progress%20S-Curve%20Version%203(Feb-25).xlsx" TargetMode="External"/><Relationship Id="rId2" Type="http://schemas.microsoft.com/office/2019/04/relationships/externalLinkLongPath" Target="https://alctechsg-my.sharepoint.com/personal/philip_alctechsg_onmicrosoft_com/Documents/SIWMF%20WB%20&amp;%20Zonal%20Detection/05.%20MONTHLY%20PROGRESS%20REPORT%20(MPR)/MPR%20for%202025%2002%20Feb/Weighbridge%20Project%20Level%20Progress%20S-Curve%20Version%203(Feb-25).xlsx?797B848F" TargetMode="External"/><Relationship Id="rId1" Type="http://schemas.openxmlformats.org/officeDocument/2006/relationships/externalLinkPath" Target="file:///\\797B848F\Weighbridge%20Project%20Level%20Progress%20S-Curve%20Version%203(Feb-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ctual Progress-Tracking"/>
      <sheetName val="ALC"/>
      <sheetName val="ALC-Master"/>
      <sheetName val="MS Progress"/>
      <sheetName val="Data"/>
      <sheetName val="Data Process"/>
    </sheetNames>
    <sheetDataSet>
      <sheetData sheetId="0"/>
      <sheetData sheetId="1">
        <row r="8">
          <cell r="D8">
            <v>44264</v>
          </cell>
          <cell r="E8">
            <v>44264</v>
          </cell>
          <cell r="G8">
            <v>1.531554321134245E-4</v>
          </cell>
        </row>
        <row r="9">
          <cell r="D9">
            <v>44582</v>
          </cell>
          <cell r="E9">
            <v>44582</v>
          </cell>
          <cell r="G9">
            <v>0</v>
          </cell>
        </row>
        <row r="10">
          <cell r="D10">
            <v>45223</v>
          </cell>
          <cell r="E10">
            <v>45223</v>
          </cell>
          <cell r="G10">
            <v>0</v>
          </cell>
        </row>
        <row r="11">
          <cell r="D11">
            <v>45293</v>
          </cell>
          <cell r="E11">
            <v>45293</v>
          </cell>
          <cell r="G11">
            <v>0</v>
          </cell>
        </row>
        <row r="12">
          <cell r="D12">
            <v>45427</v>
          </cell>
          <cell r="E12">
            <v>45427</v>
          </cell>
          <cell r="G12">
            <v>0</v>
          </cell>
        </row>
        <row r="13">
          <cell r="D13">
            <v>45504</v>
          </cell>
          <cell r="E13">
            <v>45504</v>
          </cell>
          <cell r="G13">
            <v>0</v>
          </cell>
        </row>
        <row r="14">
          <cell r="D14">
            <v>45847</v>
          </cell>
          <cell r="E14">
            <v>45847</v>
          </cell>
          <cell r="G14">
            <v>0</v>
          </cell>
        </row>
        <row r="15">
          <cell r="D15">
            <v>45937</v>
          </cell>
          <cell r="E15">
            <v>45937</v>
          </cell>
          <cell r="G15">
            <v>0</v>
          </cell>
        </row>
        <row r="17">
          <cell r="D17">
            <v>44274</v>
          </cell>
          <cell r="E17">
            <v>44289</v>
          </cell>
          <cell r="G17">
            <v>1.8361443378092578E-3</v>
          </cell>
        </row>
        <row r="19">
          <cell r="D19">
            <v>44293</v>
          </cell>
          <cell r="E19">
            <v>44363</v>
          </cell>
          <cell r="G19">
            <v>9.7899017223963148E-3</v>
          </cell>
        </row>
        <row r="20">
          <cell r="D20">
            <v>44364</v>
          </cell>
          <cell r="E20">
            <v>44364</v>
          </cell>
          <cell r="G20">
            <v>1.7208475518362302E-4</v>
          </cell>
        </row>
        <row r="21">
          <cell r="D21">
            <v>44365</v>
          </cell>
          <cell r="E21">
            <v>44372</v>
          </cell>
          <cell r="G21">
            <v>1.2045932862853612E-3</v>
          </cell>
        </row>
        <row r="22">
          <cell r="D22">
            <v>44373</v>
          </cell>
          <cell r="E22">
            <v>44398</v>
          </cell>
          <cell r="G22">
            <v>3.6327091819262822E-3</v>
          </cell>
        </row>
        <row r="23">
          <cell r="D23">
            <v>44399</v>
          </cell>
          <cell r="E23">
            <v>44403</v>
          </cell>
          <cell r="G23">
            <v>5.3518358862106763E-4</v>
          </cell>
        </row>
        <row r="24">
          <cell r="D24">
            <v>44405</v>
          </cell>
          <cell r="E24">
            <v>44406</v>
          </cell>
          <cell r="G24">
            <v>1.9101407825382159E-4</v>
          </cell>
        </row>
        <row r="25">
          <cell r="D25">
            <v>44407</v>
          </cell>
          <cell r="E25">
            <v>44416</v>
          </cell>
          <cell r="G25">
            <v>1.3766780414689842E-3</v>
          </cell>
        </row>
        <row r="26">
          <cell r="D26">
            <v>44293</v>
          </cell>
          <cell r="E26">
            <v>44371</v>
          </cell>
          <cell r="G26">
            <v>1.0994495008681675E-2</v>
          </cell>
        </row>
        <row r="27">
          <cell r="D27">
            <v>44372</v>
          </cell>
          <cell r="E27">
            <v>44372</v>
          </cell>
          <cell r="G27">
            <v>1.7208475518362302E-4</v>
          </cell>
        </row>
        <row r="28">
          <cell r="D28">
            <v>44372</v>
          </cell>
          <cell r="E28">
            <v>44379</v>
          </cell>
          <cell r="G28">
            <v>1.0514378541719369E-3</v>
          </cell>
        </row>
        <row r="29">
          <cell r="D29">
            <v>44380</v>
          </cell>
          <cell r="E29">
            <v>44393</v>
          </cell>
          <cell r="G29">
            <v>2.0460877391332778E-3</v>
          </cell>
        </row>
        <row r="30">
          <cell r="D30">
            <v>44394</v>
          </cell>
          <cell r="E30">
            <v>44403</v>
          </cell>
          <cell r="G30">
            <v>1.3766780414689842E-3</v>
          </cell>
        </row>
        <row r="31">
          <cell r="D31">
            <v>44404</v>
          </cell>
          <cell r="E31">
            <v>44407</v>
          </cell>
          <cell r="G31">
            <v>6.8833902073449208E-4</v>
          </cell>
        </row>
        <row r="32">
          <cell r="D32">
            <v>44412</v>
          </cell>
          <cell r="E32">
            <v>44435</v>
          </cell>
          <cell r="G32">
            <v>3.4416951036724606E-3</v>
          </cell>
        </row>
        <row r="33">
          <cell r="D33">
            <v>44436</v>
          </cell>
          <cell r="E33">
            <v>44469</v>
          </cell>
          <cell r="G33">
            <v>4.9904579003250682E-3</v>
          </cell>
        </row>
        <row r="34">
          <cell r="D34">
            <v>44461</v>
          </cell>
          <cell r="E34">
            <v>44474</v>
          </cell>
          <cell r="G34">
            <v>2.0650170622034765E-3</v>
          </cell>
        </row>
        <row r="35">
          <cell r="D35">
            <v>44475</v>
          </cell>
          <cell r="E35">
            <v>44484</v>
          </cell>
          <cell r="G35">
            <v>1.5487627966526073E-3</v>
          </cell>
        </row>
        <row r="36">
          <cell r="D36">
            <v>44485</v>
          </cell>
          <cell r="E36">
            <v>44489</v>
          </cell>
          <cell r="G36">
            <v>6.8833902073449208E-4</v>
          </cell>
        </row>
        <row r="37">
          <cell r="D37">
            <v>44490</v>
          </cell>
          <cell r="E37">
            <v>44494</v>
          </cell>
          <cell r="G37">
            <v>6.8833902073449208E-4</v>
          </cell>
        </row>
        <row r="38">
          <cell r="D38">
            <v>44498</v>
          </cell>
          <cell r="E38">
            <v>44582</v>
          </cell>
          <cell r="G38">
            <v>1.2045932862853612E-2</v>
          </cell>
        </row>
        <row r="39">
          <cell r="D39">
            <v>44585</v>
          </cell>
          <cell r="E39">
            <v>44956</v>
          </cell>
          <cell r="G39">
            <v>0</v>
          </cell>
        </row>
        <row r="40">
          <cell r="D40">
            <v>44436</v>
          </cell>
          <cell r="E40">
            <v>44469</v>
          </cell>
          <cell r="G40">
            <v>4.9904579003250682E-3</v>
          </cell>
        </row>
        <row r="41">
          <cell r="D41">
            <v>44469</v>
          </cell>
          <cell r="E41">
            <v>44483</v>
          </cell>
          <cell r="G41">
            <v>1.9118616300900519E-3</v>
          </cell>
        </row>
        <row r="42">
          <cell r="D42">
            <v>44483</v>
          </cell>
          <cell r="E42">
            <v>44495</v>
          </cell>
          <cell r="G42">
            <v>1.7208475518362303E-3</v>
          </cell>
        </row>
        <row r="43">
          <cell r="D43">
            <v>44495</v>
          </cell>
          <cell r="E43">
            <v>44497</v>
          </cell>
          <cell r="G43">
            <v>1.9101407825382159E-4</v>
          </cell>
        </row>
        <row r="44">
          <cell r="D44">
            <v>44497</v>
          </cell>
          <cell r="E44">
            <v>44498</v>
          </cell>
          <cell r="G44">
            <v>1.7208475518362302E-4</v>
          </cell>
        </row>
        <row r="45">
          <cell r="D45">
            <v>44498</v>
          </cell>
          <cell r="E45">
            <v>44508</v>
          </cell>
          <cell r="G45">
            <v>1.3766780414689842E-3</v>
          </cell>
        </row>
        <row r="46">
          <cell r="D46">
            <v>44498</v>
          </cell>
          <cell r="E46">
            <v>44583</v>
          </cell>
          <cell r="G46">
            <v>1.2218017618037235E-2</v>
          </cell>
        </row>
        <row r="47">
          <cell r="D47">
            <v>44585</v>
          </cell>
          <cell r="E47">
            <v>45115</v>
          </cell>
          <cell r="G47">
            <v>0</v>
          </cell>
        </row>
        <row r="50">
          <cell r="D50">
            <v>44737</v>
          </cell>
          <cell r="E50">
            <v>44748</v>
          </cell>
          <cell r="G50">
            <v>1.7208475518362303E-3</v>
          </cell>
        </row>
        <row r="51">
          <cell r="D51">
            <v>44749</v>
          </cell>
          <cell r="E51">
            <v>44751</v>
          </cell>
          <cell r="G51">
            <v>5.1625426555086912E-4</v>
          </cell>
        </row>
        <row r="52">
          <cell r="D52">
            <v>44754</v>
          </cell>
          <cell r="E52">
            <v>44765</v>
          </cell>
          <cell r="G52">
            <v>1.8929323070198533E-3</v>
          </cell>
        </row>
        <row r="53">
          <cell r="D53">
            <v>44767</v>
          </cell>
          <cell r="E53">
            <v>44769</v>
          </cell>
          <cell r="G53">
            <v>5.1625426555086912E-4</v>
          </cell>
        </row>
        <row r="54">
          <cell r="D54">
            <v>44770</v>
          </cell>
          <cell r="E54">
            <v>44778</v>
          </cell>
          <cell r="G54">
            <v>1.3766780414689842E-3</v>
          </cell>
        </row>
        <row r="55">
          <cell r="D55">
            <v>44779</v>
          </cell>
          <cell r="E55">
            <v>44785</v>
          </cell>
          <cell r="G55">
            <v>8.6042377591811516E-4</v>
          </cell>
        </row>
        <row r="56">
          <cell r="D56">
            <v>44786</v>
          </cell>
          <cell r="E56">
            <v>44805</v>
          </cell>
          <cell r="G56">
            <v>1.135759384211912E-2</v>
          </cell>
        </row>
        <row r="57">
          <cell r="D57">
            <v>44806</v>
          </cell>
          <cell r="E57">
            <v>44813</v>
          </cell>
          <cell r="G57">
            <v>2.98567050243586E-3</v>
          </cell>
        </row>
        <row r="58">
          <cell r="D58">
            <v>44814</v>
          </cell>
          <cell r="E58">
            <v>44820</v>
          </cell>
          <cell r="G58">
            <v>1.7208475518362302E-4</v>
          </cell>
        </row>
        <row r="59">
          <cell r="D59">
            <v>44821</v>
          </cell>
          <cell r="E59">
            <v>44825</v>
          </cell>
          <cell r="G59">
            <v>1.7208475518362302E-4</v>
          </cell>
        </row>
        <row r="60">
          <cell r="D60">
            <v>44826</v>
          </cell>
          <cell r="E60">
            <v>44833</v>
          </cell>
          <cell r="G60">
            <v>1.7208475518362302E-4</v>
          </cell>
        </row>
        <row r="61">
          <cell r="D61">
            <v>44834</v>
          </cell>
          <cell r="E61">
            <v>44838</v>
          </cell>
          <cell r="G61">
            <v>1.7208475518362302E-4</v>
          </cell>
        </row>
        <row r="62">
          <cell r="D62">
            <v>44839</v>
          </cell>
          <cell r="E62">
            <v>44859</v>
          </cell>
          <cell r="G62">
            <v>3.5277374812642723E-3</v>
          </cell>
        </row>
        <row r="63">
          <cell r="D63">
            <v>44860</v>
          </cell>
          <cell r="E63">
            <v>44890</v>
          </cell>
          <cell r="G63">
            <v>4.6462883899578223E-3</v>
          </cell>
        </row>
        <row r="64">
          <cell r="D64">
            <v>44365</v>
          </cell>
          <cell r="E64">
            <v>45121</v>
          </cell>
          <cell r="G64">
            <v>0.18387772345635672</v>
          </cell>
        </row>
        <row r="65">
          <cell r="D65">
            <v>44365</v>
          </cell>
          <cell r="E65">
            <v>44443</v>
          </cell>
          <cell r="G65">
            <v>1.1529678597302744E-2</v>
          </cell>
        </row>
        <row r="66">
          <cell r="D66">
            <v>44445</v>
          </cell>
          <cell r="E66">
            <v>44446</v>
          </cell>
          <cell r="G66">
            <v>3.4416951036724604E-4</v>
          </cell>
        </row>
        <row r="67">
          <cell r="D67">
            <v>44447</v>
          </cell>
          <cell r="E67">
            <v>44460</v>
          </cell>
          <cell r="G67">
            <v>2.0650170622034765E-3</v>
          </cell>
        </row>
        <row r="68">
          <cell r="D68">
            <v>44461</v>
          </cell>
          <cell r="E68">
            <v>44469</v>
          </cell>
          <cell r="G68">
            <v>1.3766780414689842E-3</v>
          </cell>
        </row>
        <row r="69">
          <cell r="D69">
            <v>44470</v>
          </cell>
          <cell r="E69">
            <v>44476</v>
          </cell>
          <cell r="G69">
            <v>1.0325085311017382E-3</v>
          </cell>
        </row>
        <row r="70">
          <cell r="D70">
            <v>44476</v>
          </cell>
          <cell r="E70">
            <v>44484</v>
          </cell>
          <cell r="G70">
            <v>1.3766780414689842E-3</v>
          </cell>
        </row>
        <row r="71">
          <cell r="D71">
            <v>44687</v>
          </cell>
          <cell r="E71">
            <v>44699</v>
          </cell>
          <cell r="G71">
            <v>1.8929323070198533E-3</v>
          </cell>
        </row>
        <row r="72">
          <cell r="D72">
            <v>44700</v>
          </cell>
          <cell r="E72">
            <v>44734</v>
          </cell>
          <cell r="G72">
            <v>5.1625426555086907E-3</v>
          </cell>
        </row>
        <row r="73">
          <cell r="D73">
            <v>44735</v>
          </cell>
          <cell r="E73">
            <v>44741</v>
          </cell>
          <cell r="G73">
            <v>1.0325085311017382E-3</v>
          </cell>
        </row>
        <row r="74">
          <cell r="D74">
            <v>44742</v>
          </cell>
          <cell r="E74">
            <v>44774</v>
          </cell>
          <cell r="G74">
            <v>4.4931329578443971E-3</v>
          </cell>
        </row>
        <row r="75">
          <cell r="D75">
            <v>44775</v>
          </cell>
          <cell r="E75">
            <v>44784</v>
          </cell>
          <cell r="G75">
            <v>1.2235226093555598E-3</v>
          </cell>
        </row>
        <row r="76">
          <cell r="D76">
            <v>44785</v>
          </cell>
          <cell r="E76">
            <v>44793</v>
          </cell>
          <cell r="G76">
            <v>1.3766780414689842E-3</v>
          </cell>
        </row>
        <row r="77">
          <cell r="D77">
            <v>44796</v>
          </cell>
          <cell r="E77">
            <v>44806</v>
          </cell>
          <cell r="G77">
            <v>1.7208475518362303E-3</v>
          </cell>
        </row>
        <row r="78">
          <cell r="D78">
            <v>44809</v>
          </cell>
          <cell r="E78">
            <v>45121</v>
          </cell>
          <cell r="G78">
            <v>4.6652177130280205E-3</v>
          </cell>
        </row>
        <row r="80">
          <cell r="D80">
            <v>44807</v>
          </cell>
          <cell r="E80">
            <v>44839</v>
          </cell>
          <cell r="G80">
            <v>1.8929323070198533E-3</v>
          </cell>
        </row>
        <row r="81">
          <cell r="D81">
            <v>44838</v>
          </cell>
          <cell r="E81">
            <v>44839</v>
          </cell>
          <cell r="G81">
            <v>3.4416951036724604E-4</v>
          </cell>
        </row>
        <row r="82">
          <cell r="D82">
            <v>44841</v>
          </cell>
          <cell r="E82">
            <v>44853</v>
          </cell>
          <cell r="G82">
            <v>3.4416951036724604E-4</v>
          </cell>
        </row>
        <row r="83">
          <cell r="D83">
            <v>44854</v>
          </cell>
          <cell r="E83">
            <v>44860</v>
          </cell>
          <cell r="G83">
            <v>3.4416951036724604E-4</v>
          </cell>
        </row>
        <row r="84">
          <cell r="D84">
            <v>44862</v>
          </cell>
          <cell r="E84">
            <v>44869</v>
          </cell>
          <cell r="G84">
            <v>3.4416951036724604E-4</v>
          </cell>
        </row>
        <row r="85">
          <cell r="D85">
            <v>44870</v>
          </cell>
          <cell r="E85">
            <v>44874</v>
          </cell>
          <cell r="G85">
            <v>3.4416951036724604E-4</v>
          </cell>
        </row>
        <row r="86">
          <cell r="D86">
            <v>44874</v>
          </cell>
          <cell r="E86">
            <v>44872</v>
          </cell>
          <cell r="G86">
            <v>0</v>
          </cell>
        </row>
        <row r="87">
          <cell r="D87">
            <v>44893</v>
          </cell>
          <cell r="E87">
            <v>44900</v>
          </cell>
          <cell r="G87">
            <v>9.6367462902828896E-4</v>
          </cell>
        </row>
        <row r="88">
          <cell r="D88">
            <v>44901</v>
          </cell>
          <cell r="E88">
            <v>44907</v>
          </cell>
          <cell r="G88">
            <v>1.7208475518362302E-4</v>
          </cell>
        </row>
        <row r="89">
          <cell r="D89">
            <v>44908</v>
          </cell>
          <cell r="E89">
            <v>44911</v>
          </cell>
          <cell r="G89">
            <v>0</v>
          </cell>
        </row>
        <row r="90">
          <cell r="D90">
            <v>44912</v>
          </cell>
          <cell r="E90">
            <v>44918</v>
          </cell>
          <cell r="G90">
            <v>1.7208475518362302E-4</v>
          </cell>
        </row>
        <row r="91">
          <cell r="D91">
            <v>44919</v>
          </cell>
          <cell r="E91">
            <v>44924</v>
          </cell>
          <cell r="G91">
            <v>1.0325085311017382E-3</v>
          </cell>
        </row>
        <row r="92">
          <cell r="D92">
            <v>44926</v>
          </cell>
          <cell r="E92">
            <v>44945</v>
          </cell>
          <cell r="G92">
            <v>3.0975255933052147E-3</v>
          </cell>
        </row>
        <row r="93">
          <cell r="D93">
            <v>45098</v>
          </cell>
          <cell r="E93">
            <v>45129</v>
          </cell>
          <cell r="G93">
            <v>4.6462883899578223E-3</v>
          </cell>
        </row>
        <row r="95">
          <cell r="D95">
            <v>44602</v>
          </cell>
          <cell r="E95">
            <v>44749</v>
          </cell>
          <cell r="G95">
            <v>2.1338509642769257E-2</v>
          </cell>
        </row>
        <row r="96">
          <cell r="D96">
            <v>44750</v>
          </cell>
          <cell r="E96">
            <v>44762</v>
          </cell>
          <cell r="G96">
            <v>3.0975255933052147E-3</v>
          </cell>
        </row>
        <row r="97">
          <cell r="D97">
            <v>44763</v>
          </cell>
          <cell r="E97">
            <v>44764</v>
          </cell>
          <cell r="G97">
            <v>3.4416951036724604E-4</v>
          </cell>
        </row>
        <row r="98">
          <cell r="D98">
            <v>44764</v>
          </cell>
          <cell r="E98">
            <v>44770</v>
          </cell>
          <cell r="G98">
            <v>3.0975255933052147E-3</v>
          </cell>
        </row>
        <row r="99">
          <cell r="D99">
            <v>44771</v>
          </cell>
          <cell r="E99">
            <v>44809</v>
          </cell>
          <cell r="G99">
            <v>1.3766780414689842E-3</v>
          </cell>
        </row>
        <row r="100">
          <cell r="D100">
            <v>44811</v>
          </cell>
          <cell r="E100">
            <v>44818</v>
          </cell>
          <cell r="G100">
            <v>3.4416951036724604E-4</v>
          </cell>
        </row>
        <row r="101">
          <cell r="D101">
            <v>44818</v>
          </cell>
          <cell r="E101">
            <v>44831</v>
          </cell>
          <cell r="G101">
            <v>0</v>
          </cell>
        </row>
        <row r="102">
          <cell r="D102">
            <v>44833</v>
          </cell>
          <cell r="E102">
            <v>44838</v>
          </cell>
          <cell r="G102">
            <v>6.3671359417940519E-3</v>
          </cell>
        </row>
        <row r="103">
          <cell r="D103">
            <v>44839</v>
          </cell>
          <cell r="E103">
            <v>44895</v>
          </cell>
          <cell r="G103">
            <v>3.4416951036724606E-3</v>
          </cell>
        </row>
        <row r="104">
          <cell r="D104">
            <v>44896</v>
          </cell>
          <cell r="E104">
            <v>44925</v>
          </cell>
          <cell r="G104">
            <v>4.3021188795905755E-3</v>
          </cell>
        </row>
        <row r="105">
          <cell r="D105">
            <v>44926</v>
          </cell>
          <cell r="E105">
            <v>44935</v>
          </cell>
          <cell r="G105">
            <v>1.2045932862853612E-3</v>
          </cell>
        </row>
        <row r="106">
          <cell r="D106">
            <v>44936</v>
          </cell>
          <cell r="E106">
            <v>44939</v>
          </cell>
          <cell r="G106">
            <v>6.8833902073449208E-4</v>
          </cell>
        </row>
        <row r="107">
          <cell r="D107">
            <v>44940</v>
          </cell>
          <cell r="E107">
            <v>44961</v>
          </cell>
          <cell r="G107">
            <v>0</v>
          </cell>
        </row>
        <row r="108">
          <cell r="D108">
            <v>45098</v>
          </cell>
          <cell r="E108">
            <v>45117</v>
          </cell>
          <cell r="G108">
            <v>2.7533560829379683E-3</v>
          </cell>
        </row>
        <row r="110">
          <cell r="D110">
            <v>44599</v>
          </cell>
          <cell r="E110">
            <v>44599</v>
          </cell>
          <cell r="G110">
            <v>1.7208475518362302E-4</v>
          </cell>
        </row>
        <row r="111">
          <cell r="D111">
            <v>44614</v>
          </cell>
          <cell r="E111">
            <v>44615</v>
          </cell>
          <cell r="G111">
            <v>2.6845221808645192E-4</v>
          </cell>
        </row>
        <row r="112">
          <cell r="D112">
            <v>44616</v>
          </cell>
          <cell r="E112">
            <v>44648</v>
          </cell>
          <cell r="G112">
            <v>4.8183731451414448E-3</v>
          </cell>
        </row>
        <row r="113">
          <cell r="D113">
            <v>44649</v>
          </cell>
          <cell r="E113">
            <v>44656</v>
          </cell>
          <cell r="G113">
            <v>1.2045932862853612E-3</v>
          </cell>
        </row>
        <row r="114">
          <cell r="D114">
            <v>44657</v>
          </cell>
          <cell r="E114">
            <v>44658</v>
          </cell>
          <cell r="G114">
            <v>3.4416951036724604E-4</v>
          </cell>
        </row>
        <row r="115">
          <cell r="D115">
            <v>44659</v>
          </cell>
          <cell r="E115">
            <v>44734</v>
          </cell>
          <cell r="G115">
            <v>1.0669254821384628E-2</v>
          </cell>
        </row>
        <row r="116">
          <cell r="D116">
            <v>44735</v>
          </cell>
          <cell r="E116">
            <v>44894</v>
          </cell>
          <cell r="G116">
            <v>2.2906201762492064E-2</v>
          </cell>
        </row>
        <row r="117">
          <cell r="D117">
            <v>44834</v>
          </cell>
          <cell r="E117">
            <v>44837</v>
          </cell>
          <cell r="G117">
            <v>5.1625426555086912E-4</v>
          </cell>
        </row>
        <row r="118">
          <cell r="D118">
            <v>44838</v>
          </cell>
          <cell r="E118">
            <v>44846</v>
          </cell>
          <cell r="G118">
            <v>1.2235226093555598E-3</v>
          </cell>
        </row>
        <row r="119">
          <cell r="D119">
            <v>44847</v>
          </cell>
          <cell r="E119">
            <v>44900</v>
          </cell>
          <cell r="G119">
            <v>5.8698109993133817E-3</v>
          </cell>
        </row>
        <row r="120">
          <cell r="D120">
            <v>44901</v>
          </cell>
          <cell r="E120">
            <v>44908</v>
          </cell>
          <cell r="G120">
            <v>1.7208475518362302E-4</v>
          </cell>
        </row>
        <row r="121">
          <cell r="D121">
            <v>44909</v>
          </cell>
          <cell r="E121">
            <v>44918</v>
          </cell>
          <cell r="G121">
            <v>0</v>
          </cell>
        </row>
        <row r="122">
          <cell r="D122">
            <v>44919</v>
          </cell>
          <cell r="E122">
            <v>44929</v>
          </cell>
          <cell r="G122">
            <v>0</v>
          </cell>
        </row>
        <row r="123">
          <cell r="D123">
            <v>44930</v>
          </cell>
          <cell r="E123">
            <v>44940</v>
          </cell>
          <cell r="G123">
            <v>0</v>
          </cell>
        </row>
        <row r="124">
          <cell r="D124">
            <v>44942</v>
          </cell>
          <cell r="E124">
            <v>44947</v>
          </cell>
          <cell r="G124">
            <v>1.8929323070198533E-3</v>
          </cell>
        </row>
        <row r="125">
          <cell r="D125">
            <v>44951</v>
          </cell>
          <cell r="E125">
            <v>44960</v>
          </cell>
          <cell r="G125">
            <v>2.5640628522359831E-2</v>
          </cell>
        </row>
        <row r="126">
          <cell r="D126">
            <v>44963</v>
          </cell>
          <cell r="E126">
            <v>44965</v>
          </cell>
          <cell r="G126">
            <v>8.4321530039975293E-3</v>
          </cell>
        </row>
        <row r="127">
          <cell r="D127">
            <v>44966</v>
          </cell>
          <cell r="E127">
            <v>44970</v>
          </cell>
          <cell r="G127">
            <v>6.8833902073449208E-4</v>
          </cell>
        </row>
        <row r="129">
          <cell r="D129">
            <v>44799</v>
          </cell>
          <cell r="E129">
            <v>45000</v>
          </cell>
          <cell r="G129">
            <v>1.8585153559831289E-2</v>
          </cell>
        </row>
        <row r="130">
          <cell r="D130">
            <v>44971</v>
          </cell>
          <cell r="E130">
            <v>45031</v>
          </cell>
          <cell r="G130">
            <v>8.9484072695483977E-3</v>
          </cell>
        </row>
        <row r="131">
          <cell r="D131">
            <v>44852</v>
          </cell>
          <cell r="E131">
            <v>45001</v>
          </cell>
          <cell r="G131">
            <v>0</v>
          </cell>
        </row>
        <row r="132">
          <cell r="D132">
            <v>44382</v>
          </cell>
          <cell r="E132">
            <v>45001</v>
          </cell>
          <cell r="G132">
            <v>4.6462883899578223E-3</v>
          </cell>
        </row>
        <row r="133">
          <cell r="D133">
            <v>44971</v>
          </cell>
          <cell r="E133">
            <v>45001</v>
          </cell>
          <cell r="G133">
            <v>4.6462883899578223E-3</v>
          </cell>
        </row>
        <row r="134">
          <cell r="D134">
            <v>44706</v>
          </cell>
          <cell r="E134">
            <v>45001</v>
          </cell>
          <cell r="G134">
            <v>4.6462883899578223E-3</v>
          </cell>
        </row>
        <row r="135">
          <cell r="D135">
            <v>44706</v>
          </cell>
          <cell r="E135">
            <v>45001</v>
          </cell>
          <cell r="G135">
            <v>4.6462883899578223E-3</v>
          </cell>
        </row>
        <row r="136">
          <cell r="D136">
            <v>44706</v>
          </cell>
          <cell r="E136">
            <v>45001</v>
          </cell>
          <cell r="G136">
            <v>4.6462883899578223E-3</v>
          </cell>
        </row>
        <row r="137">
          <cell r="D137">
            <v>44706</v>
          </cell>
          <cell r="E137">
            <v>45012</v>
          </cell>
          <cell r="G137">
            <v>6.1950511866104294E-3</v>
          </cell>
        </row>
        <row r="138">
          <cell r="D138">
            <v>44706</v>
          </cell>
          <cell r="E138">
            <v>45030</v>
          </cell>
          <cell r="G138">
            <v>8.7763225143647743E-3</v>
          </cell>
        </row>
        <row r="139">
          <cell r="D139">
            <v>44802</v>
          </cell>
          <cell r="E139">
            <v>45031</v>
          </cell>
          <cell r="G139">
            <v>8.9484072695483977E-3</v>
          </cell>
        </row>
        <row r="140">
          <cell r="D140">
            <v>44782</v>
          </cell>
          <cell r="E140">
            <v>44995</v>
          </cell>
          <cell r="G140">
            <v>1.5487627966526073E-2</v>
          </cell>
        </row>
        <row r="141">
          <cell r="D141">
            <v>44706</v>
          </cell>
          <cell r="E141">
            <v>45031</v>
          </cell>
          <cell r="G141">
            <v>8.9484072695483977E-3</v>
          </cell>
        </row>
        <row r="142">
          <cell r="D142">
            <v>45086</v>
          </cell>
          <cell r="E142">
            <v>45087</v>
          </cell>
          <cell r="G142">
            <v>1.2045932862853612E-2</v>
          </cell>
        </row>
        <row r="143">
          <cell r="D143">
            <v>45087</v>
          </cell>
          <cell r="E143">
            <v>45087</v>
          </cell>
          <cell r="G143">
            <v>1.3250526149138974E-2</v>
          </cell>
        </row>
        <row r="146">
          <cell r="D146">
            <v>45001</v>
          </cell>
          <cell r="E146">
            <v>45066</v>
          </cell>
          <cell r="G146">
            <v>9.2925767799156445E-3</v>
          </cell>
        </row>
        <row r="147">
          <cell r="D147">
            <v>45033</v>
          </cell>
          <cell r="E147">
            <v>45065</v>
          </cell>
          <cell r="G147">
            <v>4.6462883899578223E-3</v>
          </cell>
        </row>
        <row r="148">
          <cell r="D148">
            <v>45002</v>
          </cell>
          <cell r="E148">
            <v>45068</v>
          </cell>
          <cell r="G148">
            <v>9.2925767799156445E-3</v>
          </cell>
        </row>
        <row r="149">
          <cell r="D149">
            <v>45002</v>
          </cell>
          <cell r="E149">
            <v>45044</v>
          </cell>
          <cell r="G149">
            <v>6.022966431426806E-3</v>
          </cell>
        </row>
        <row r="150">
          <cell r="D150">
            <v>45002</v>
          </cell>
          <cell r="E150">
            <v>45098</v>
          </cell>
          <cell r="G150">
            <v>1.3766780414689843E-2</v>
          </cell>
        </row>
        <row r="151">
          <cell r="D151">
            <v>45002</v>
          </cell>
          <cell r="E151">
            <v>45068</v>
          </cell>
          <cell r="G151">
            <v>9.2925767799156445E-3</v>
          </cell>
        </row>
        <row r="152">
          <cell r="D152">
            <v>45048</v>
          </cell>
          <cell r="E152">
            <v>45111</v>
          </cell>
          <cell r="G152">
            <v>9.2925767799156445E-3</v>
          </cell>
        </row>
        <row r="153">
          <cell r="D153">
            <v>45002</v>
          </cell>
          <cell r="E153">
            <v>45098</v>
          </cell>
          <cell r="G153">
            <v>1.3766780414689843E-2</v>
          </cell>
        </row>
        <row r="154">
          <cell r="D154">
            <v>45013</v>
          </cell>
          <cell r="E154">
            <v>45089</v>
          </cell>
          <cell r="G154">
            <v>1.0841339576568252E-2</v>
          </cell>
        </row>
        <row r="155">
          <cell r="D155">
            <v>45069</v>
          </cell>
          <cell r="E155">
            <v>45163</v>
          </cell>
          <cell r="G155">
            <v>1.3766780414689843E-2</v>
          </cell>
        </row>
        <row r="156">
          <cell r="D156">
            <v>45033</v>
          </cell>
          <cell r="E156">
            <v>45076</v>
          </cell>
          <cell r="G156">
            <v>6.1950511866104294E-3</v>
          </cell>
        </row>
        <row r="157">
          <cell r="D157">
            <v>44996</v>
          </cell>
          <cell r="E157">
            <v>45051</v>
          </cell>
          <cell r="G157">
            <v>7.7438139832630365E-3</v>
          </cell>
        </row>
        <row r="158">
          <cell r="D158">
            <v>45033</v>
          </cell>
          <cell r="E158">
            <v>45097</v>
          </cell>
          <cell r="G158">
            <v>9.2925767799156445E-3</v>
          </cell>
        </row>
        <row r="160">
          <cell r="D160">
            <v>45131</v>
          </cell>
          <cell r="E160">
            <v>45190</v>
          </cell>
          <cell r="G160">
            <v>8.7763225143647743E-3</v>
          </cell>
        </row>
        <row r="161">
          <cell r="D161">
            <v>45164</v>
          </cell>
          <cell r="E161">
            <v>45216</v>
          </cell>
          <cell r="G161">
            <v>7.7438139832630365E-3</v>
          </cell>
        </row>
        <row r="162">
          <cell r="D162">
            <v>45112</v>
          </cell>
          <cell r="E162">
            <v>45164</v>
          </cell>
          <cell r="G162">
            <v>7.7438139832630365E-3</v>
          </cell>
        </row>
        <row r="163">
          <cell r="D163">
            <v>45219</v>
          </cell>
          <cell r="E163">
            <v>45223</v>
          </cell>
          <cell r="G163">
            <v>6.8833902073449208E-4</v>
          </cell>
        </row>
        <row r="165">
          <cell r="D165">
            <v>45191</v>
          </cell>
          <cell r="E165">
            <v>45191</v>
          </cell>
          <cell r="G165">
            <v>1.531554321134245E-4</v>
          </cell>
        </row>
        <row r="166">
          <cell r="D166">
            <v>45224</v>
          </cell>
          <cell r="E166">
            <v>45293</v>
          </cell>
          <cell r="G166">
            <v>9.808831045466513E-3</v>
          </cell>
        </row>
        <row r="167">
          <cell r="D167">
            <v>45224</v>
          </cell>
          <cell r="E167">
            <v>45293</v>
          </cell>
          <cell r="G167">
            <v>9.808831045466513E-3</v>
          </cell>
        </row>
        <row r="168">
          <cell r="D168">
            <v>45224</v>
          </cell>
          <cell r="E168">
            <v>45293</v>
          </cell>
          <cell r="G168">
            <v>9.808831045466513E-3</v>
          </cell>
        </row>
        <row r="169">
          <cell r="D169">
            <v>45224</v>
          </cell>
          <cell r="E169">
            <v>45266</v>
          </cell>
          <cell r="G169">
            <v>6.1950511866104294E-3</v>
          </cell>
        </row>
        <row r="170">
          <cell r="D170">
            <v>45224</v>
          </cell>
          <cell r="E170">
            <v>45266</v>
          </cell>
          <cell r="G170">
            <v>6.1950511866104294E-3</v>
          </cell>
        </row>
        <row r="172">
          <cell r="D172">
            <v>45294</v>
          </cell>
          <cell r="E172">
            <v>45296</v>
          </cell>
          <cell r="G172">
            <v>5.1625426555086912E-4</v>
          </cell>
        </row>
        <row r="173">
          <cell r="D173">
            <v>45297</v>
          </cell>
          <cell r="E173">
            <v>45297</v>
          </cell>
          <cell r="G173">
            <v>1.7208475518362302E-4</v>
          </cell>
        </row>
        <row r="174">
          <cell r="D174">
            <v>45299</v>
          </cell>
          <cell r="E174">
            <v>45342</v>
          </cell>
          <cell r="G174">
            <v>6.1950511866104294E-3</v>
          </cell>
        </row>
        <row r="175">
          <cell r="D175">
            <v>45310</v>
          </cell>
          <cell r="E175">
            <v>45427</v>
          </cell>
          <cell r="G175">
            <v>1.6520136497627812E-2</v>
          </cell>
        </row>
        <row r="176">
          <cell r="D176">
            <v>45299</v>
          </cell>
          <cell r="E176">
            <v>45318</v>
          </cell>
          <cell r="G176">
            <v>3.0975255933052147E-3</v>
          </cell>
        </row>
        <row r="177">
          <cell r="D177">
            <v>45299</v>
          </cell>
          <cell r="E177">
            <v>45318</v>
          </cell>
          <cell r="G177">
            <v>3.0975255933052147E-3</v>
          </cell>
        </row>
        <row r="178">
          <cell r="D178">
            <v>45299</v>
          </cell>
          <cell r="E178">
            <v>45318</v>
          </cell>
          <cell r="G178">
            <v>3.0975255933052147E-3</v>
          </cell>
        </row>
        <row r="179">
          <cell r="D179">
            <v>45299</v>
          </cell>
          <cell r="E179">
            <v>45329</v>
          </cell>
          <cell r="G179">
            <v>4.6462883899578223E-3</v>
          </cell>
        </row>
        <row r="180">
          <cell r="D180">
            <v>45299</v>
          </cell>
          <cell r="E180">
            <v>45329</v>
          </cell>
          <cell r="G180">
            <v>4.6462883899578223E-3</v>
          </cell>
        </row>
        <row r="181">
          <cell r="D181">
            <v>45299</v>
          </cell>
          <cell r="E181">
            <v>45318</v>
          </cell>
          <cell r="G181">
            <v>3.0975255933052147E-3</v>
          </cell>
        </row>
        <row r="182">
          <cell r="D182">
            <v>45299</v>
          </cell>
          <cell r="E182">
            <v>45358</v>
          </cell>
          <cell r="G182">
            <v>8.6042377591811509E-3</v>
          </cell>
        </row>
        <row r="183">
          <cell r="D183">
            <v>45299</v>
          </cell>
          <cell r="E183">
            <v>45328</v>
          </cell>
          <cell r="G183">
            <v>4.4742036347741989E-3</v>
          </cell>
        </row>
        <row r="184">
          <cell r="D184">
            <v>45299</v>
          </cell>
          <cell r="E184">
            <v>45328</v>
          </cell>
          <cell r="G184">
            <v>4.4742036347741989E-3</v>
          </cell>
        </row>
        <row r="185">
          <cell r="D185">
            <v>45299</v>
          </cell>
          <cell r="E185">
            <v>45328</v>
          </cell>
          <cell r="G185">
            <v>4.4742036347741989E-3</v>
          </cell>
        </row>
        <row r="186">
          <cell r="D186">
            <v>45299</v>
          </cell>
          <cell r="E186">
            <v>45328</v>
          </cell>
          <cell r="G186">
            <v>4.4742036347741989E-3</v>
          </cell>
        </row>
        <row r="187">
          <cell r="D187">
            <v>45299</v>
          </cell>
          <cell r="E187">
            <v>45328</v>
          </cell>
          <cell r="G187">
            <v>4.4742036347741989E-3</v>
          </cell>
        </row>
        <row r="188">
          <cell r="D188">
            <v>45299</v>
          </cell>
          <cell r="E188">
            <v>45325</v>
          </cell>
          <cell r="G188">
            <v>4.1300341244069529E-3</v>
          </cell>
        </row>
        <row r="189">
          <cell r="D189">
            <v>45299</v>
          </cell>
          <cell r="E189">
            <v>45325</v>
          </cell>
          <cell r="G189">
            <v>4.1300341244069529E-3</v>
          </cell>
        </row>
        <row r="190">
          <cell r="D190">
            <v>45299</v>
          </cell>
          <cell r="E190">
            <v>45343</v>
          </cell>
          <cell r="G190">
            <v>6.3671359417940519E-3</v>
          </cell>
        </row>
        <row r="191">
          <cell r="D191">
            <v>45299</v>
          </cell>
          <cell r="E191">
            <v>45344</v>
          </cell>
          <cell r="G191">
            <v>6.5392206969776753E-3</v>
          </cell>
        </row>
        <row r="192">
          <cell r="D192">
            <v>45299</v>
          </cell>
          <cell r="E192">
            <v>45358</v>
          </cell>
          <cell r="G192">
            <v>8.6042377591811509E-3</v>
          </cell>
        </row>
        <row r="194">
          <cell r="D194">
            <v>45442</v>
          </cell>
          <cell r="E194">
            <v>45442</v>
          </cell>
          <cell r="G194">
            <v>1.7208475518362302E-4</v>
          </cell>
        </row>
        <row r="196">
          <cell r="D196">
            <v>45443</v>
          </cell>
          <cell r="E196">
            <v>45472</v>
          </cell>
          <cell r="G196">
            <v>4.3021188795905755E-3</v>
          </cell>
        </row>
        <row r="197">
          <cell r="D197">
            <v>45474</v>
          </cell>
          <cell r="E197">
            <v>45504</v>
          </cell>
          <cell r="G197">
            <v>4.6462883899578223E-3</v>
          </cell>
        </row>
        <row r="198">
          <cell r="D198">
            <v>45505</v>
          </cell>
          <cell r="E198">
            <v>45527</v>
          </cell>
          <cell r="G198">
            <v>3.4416951036724606E-3</v>
          </cell>
        </row>
        <row r="199">
          <cell r="D199">
            <v>45528</v>
          </cell>
          <cell r="E199">
            <v>45548</v>
          </cell>
          <cell r="G199">
            <v>3.0975255933052147E-3</v>
          </cell>
        </row>
        <row r="201">
          <cell r="D201">
            <v>45549</v>
          </cell>
          <cell r="E201">
            <v>45642</v>
          </cell>
          <cell r="G201">
            <v>1.3766780414689843E-2</v>
          </cell>
        </row>
        <row r="202">
          <cell r="D202">
            <v>45549</v>
          </cell>
          <cell r="E202">
            <v>45642</v>
          </cell>
          <cell r="G202">
            <v>1.3766780414689843E-2</v>
          </cell>
        </row>
        <row r="203">
          <cell r="D203">
            <v>45549</v>
          </cell>
          <cell r="E203">
            <v>45642</v>
          </cell>
          <cell r="G203">
            <v>1.3766780414689843E-2</v>
          </cell>
        </row>
        <row r="204">
          <cell r="D204">
            <v>45643</v>
          </cell>
          <cell r="E204">
            <v>45735</v>
          </cell>
          <cell r="G204">
            <v>1.3766780414689843E-2</v>
          </cell>
        </row>
        <row r="205">
          <cell r="D205">
            <v>45737</v>
          </cell>
          <cell r="E205">
            <v>45847</v>
          </cell>
          <cell r="G205">
            <v>1.6348051742444188E-2</v>
          </cell>
        </row>
        <row r="206">
          <cell r="D206">
            <v>45848</v>
          </cell>
          <cell r="E206">
            <v>45937</v>
          </cell>
          <cell r="G206">
            <v>9.2925767799156445E-3</v>
          </cell>
        </row>
      </sheetData>
      <sheetData sheetId="2">
        <row r="2">
          <cell r="A2" t="str">
            <v xml:space="preserve">SIWMF Submission </v>
          </cell>
        </row>
        <row r="7">
          <cell r="C7" t="str">
            <v>SIWMF Baseline</v>
          </cell>
        </row>
        <row r="8">
          <cell r="A8" t="str">
            <v>A1000</v>
          </cell>
          <cell r="C8" t="str">
            <v>Contract Award</v>
          </cell>
        </row>
        <row r="9">
          <cell r="A9" t="str">
            <v>A1020.14</v>
          </cell>
          <cell r="C9" t="str">
            <v>Detailed Design for weighbridge MD2/AD2 Review and Acceptance by SO</v>
          </cell>
        </row>
        <row r="10">
          <cell r="A10" t="str">
            <v>A1070.F.05</v>
          </cell>
          <cell r="C10" t="str">
            <v>Successful Completion of Factory acceptance Test(FAT)</v>
          </cell>
        </row>
        <row r="11">
          <cell r="A11" t="str">
            <v>A1080.D.06</v>
          </cell>
          <cell r="C11" t="str">
            <v>Time for Delivery of Weighbridge System</v>
          </cell>
        </row>
        <row r="12">
          <cell r="A12" t="str">
            <v>A1090.I.22</v>
          </cell>
          <cell r="C12" t="str">
            <v>Completion of Weighbridge Mechanical , EIAC and Zonal Detection System</v>
          </cell>
        </row>
        <row r="13">
          <cell r="A13" t="str">
            <v>A1110.S.04</v>
          </cell>
          <cell r="C13" t="str">
            <v>Successful SAT of Weighbridge system</v>
          </cell>
        </row>
        <row r="14">
          <cell r="A14" t="str">
            <v>A1130.15</v>
          </cell>
          <cell r="C14" t="str">
            <v>Successful Completion of Trial Operation</v>
          </cell>
        </row>
        <row r="15">
          <cell r="A15" t="str">
            <v>A1160</v>
          </cell>
          <cell r="C15" t="str">
            <v>Completion of the whole of the Sub-Contract Works</v>
          </cell>
        </row>
        <row r="16">
          <cell r="C16" t="str">
            <v>Process Engineering (Detailed Design Milestone)</v>
          </cell>
        </row>
        <row r="17">
          <cell r="A17" t="str">
            <v>A1010</v>
          </cell>
          <cell r="C17" t="str">
            <v>MD1 AD1 Preparation, Submission, Review &amp; Acceptance</v>
          </cell>
        </row>
        <row r="18">
          <cell r="A18" t="str">
            <v>A1020</v>
          </cell>
          <cell r="C18" t="str">
            <v>MD2 ED1 AD2 Preparation, Submission, Review &amp; Acceptance</v>
          </cell>
        </row>
        <row r="19">
          <cell r="A19" t="str">
            <v>A1020.1</v>
          </cell>
          <cell r="C19" t="str">
            <v>MD2 Weighbridge System Package (Rev 0a) Preparation by ALC</v>
          </cell>
        </row>
        <row r="20">
          <cell r="A20" t="str">
            <v>A1020.2</v>
          </cell>
          <cell r="C20" t="str">
            <v>MD2 Weighbridge System Package (Rev 0a) Submission to KSPL</v>
          </cell>
        </row>
        <row r="21">
          <cell r="A21" t="str">
            <v>A1020.3</v>
          </cell>
          <cell r="C21" t="str">
            <v>MD2 Weighbridge System Package (Rev 0a) Review (1st Round)</v>
          </cell>
        </row>
        <row r="22">
          <cell r="A22" t="str">
            <v>A1020.4</v>
          </cell>
          <cell r="C22" t="str">
            <v>MD2 Weighbridge System Package (Rev 0a) ALC Ammendment (1st Round)</v>
          </cell>
        </row>
        <row r="23">
          <cell r="A23" t="str">
            <v>A1020.5</v>
          </cell>
          <cell r="C23" t="str">
            <v>MD2 Weighbridge System Package (Rev 0b) Review (2nd Round)</v>
          </cell>
        </row>
        <row r="24">
          <cell r="A24" t="str">
            <v>A1020.6</v>
          </cell>
          <cell r="C24" t="str">
            <v>MD2 Weighbridge System Package (Rev 0b) ALC Ammendment (2nd Round)</v>
          </cell>
        </row>
        <row r="25">
          <cell r="A25" t="str">
            <v>A1020.7</v>
          </cell>
          <cell r="C25" t="str">
            <v>MD2 Weighbridge System Package (Rev 0) Review by SO/ NEA</v>
          </cell>
        </row>
        <row r="26">
          <cell r="A26" t="str">
            <v>A1020.1</v>
          </cell>
          <cell r="C26" t="str">
            <v>ED1 AD2 Weighbridge System Package (Rev 0a) Preparation by ALC</v>
          </cell>
        </row>
        <row r="27">
          <cell r="A27" t="str">
            <v>A1020.2</v>
          </cell>
          <cell r="C27" t="str">
            <v>ED1 AD2 Weighbridge System Package (Rev 0a) Submission to KSPL</v>
          </cell>
        </row>
        <row r="28">
          <cell r="A28" t="str">
            <v>A1020.3</v>
          </cell>
          <cell r="C28" t="str">
            <v>ED1 AD2 Weighbridge System Package (Rev 0a) Review (1st Round)</v>
          </cell>
        </row>
        <row r="29">
          <cell r="A29" t="str">
            <v>A1020.4</v>
          </cell>
          <cell r="C29" t="str">
            <v>ED1 AD2 Weighbridge System Package (Rev 0a) ALC Ammendment (1st Round)</v>
          </cell>
        </row>
        <row r="30">
          <cell r="A30" t="str">
            <v>A1020.5</v>
          </cell>
          <cell r="C30" t="str">
            <v>ED1 AD2 Weighbridge System Package (Rev 0b) Review (2nd Round)</v>
          </cell>
        </row>
        <row r="31">
          <cell r="A31" t="str">
            <v>A1020.6</v>
          </cell>
          <cell r="C31" t="str">
            <v>ED1 AD2 Weighbridge System Package (Rev 0b) ALC Ammendment (2nd Round)</v>
          </cell>
        </row>
        <row r="32">
          <cell r="A32" t="str">
            <v>A1020.7</v>
          </cell>
          <cell r="C32" t="str">
            <v>ED1 AD2 Weighbridge System Package (Rev 0) Review by SO/ NEA</v>
          </cell>
        </row>
        <row r="33">
          <cell r="A33" t="str">
            <v>A1020.8</v>
          </cell>
          <cell r="C33" t="str">
            <v>MD2 Weighbridge System Package (Rev 1a) Ammendment by ALC on SO Comments and Re-submission to KSPL</v>
          </cell>
        </row>
        <row r="34">
          <cell r="A34" t="str">
            <v>A1020.9</v>
          </cell>
          <cell r="C34" t="str">
            <v>MD2 Weighbridge System Package (Rev 1a) Review (1st Round)</v>
          </cell>
        </row>
        <row r="35">
          <cell r="A35" t="str">
            <v>A1020.10</v>
          </cell>
          <cell r="C35" t="str">
            <v>MD2 Weighbridge System Package (Rev 1a) ALC Ammendment (1st Round)</v>
          </cell>
        </row>
        <row r="36">
          <cell r="A36" t="str">
            <v>A1020.11</v>
          </cell>
          <cell r="C36" t="str">
            <v>MD2 Weighbridge System Package (Rev 1b) Review (2nd Round)</v>
          </cell>
        </row>
        <row r="37">
          <cell r="A37" t="str">
            <v>A1020.12</v>
          </cell>
          <cell r="C37" t="str">
            <v>MD2 Weighbridge System Package (Rev 1b) ALC Ammendment (2nd Round)</v>
          </cell>
        </row>
        <row r="38">
          <cell r="A38" t="str">
            <v>A1020.13</v>
          </cell>
          <cell r="C38" t="str">
            <v>MD2 Weighbridge System Package (Rev 1) Review by SO/ NEA(Accepted with comments , Re-submission Required)</v>
          </cell>
        </row>
        <row r="39">
          <cell r="A39" t="str">
            <v>A1020.14</v>
          </cell>
          <cell r="C39" t="str">
            <v>MD2 Weighbridge System Package (Rev XX) Review by SO/ NEA(Accepted with comments , No Re-submission Required)</v>
          </cell>
        </row>
        <row r="40">
          <cell r="A40" t="str">
            <v>A1020.8</v>
          </cell>
          <cell r="C40" t="str">
            <v>ED1 AD2 Weighbridge System Package (Rev 1a) Ammendment by ALC on SO Comments and Re-submission to KSPL</v>
          </cell>
        </row>
        <row r="41">
          <cell r="A41" t="str">
            <v>A1020.9</v>
          </cell>
          <cell r="C41" t="str">
            <v>ED1 AD2 Weighbridge System Package (Rev 1a) Review (1st Round)</v>
          </cell>
        </row>
        <row r="42">
          <cell r="A42" t="str">
            <v>A1020.10</v>
          </cell>
          <cell r="C42" t="str">
            <v>ED1 AD2 Weighbridge System Package (Rev 1a) ALC Ammendment (1st Round)</v>
          </cell>
        </row>
        <row r="43">
          <cell r="A43" t="str">
            <v>A1020.11</v>
          </cell>
          <cell r="C43" t="str">
            <v>ED1 AD2 Weighbridge System Package (Rev 1b) Review (2nd Round)</v>
          </cell>
        </row>
        <row r="44">
          <cell r="A44" t="str">
            <v>A1020.12</v>
          </cell>
          <cell r="C44" t="str">
            <v>ED1 AD2 Weighbridge System Package (Rev 1b) ALC Ammendment (2nd Round)</v>
          </cell>
        </row>
        <row r="45">
          <cell r="A45" t="str">
            <v>A1020.13</v>
          </cell>
          <cell r="C45" t="str">
            <v>ED1 AD2 Weighbridge System Package (Rev 1) Review by SO/ NEA</v>
          </cell>
        </row>
        <row r="46">
          <cell r="A46" t="str">
            <v>A1020.14</v>
          </cell>
          <cell r="C46" t="str">
            <v>AD2 Weighbridge System Package (Rev 1) Review by SO/ NEA(Accepted with comments , Re-submission Required)</v>
          </cell>
        </row>
        <row r="47">
          <cell r="A47" t="str">
            <v>A1020.15</v>
          </cell>
          <cell r="C47" t="str">
            <v>AD2 Weighbridge System Package (Rev XX) Review by SO/ NEA(Accepted with comments , Re-submission Required)</v>
          </cell>
        </row>
        <row r="48">
          <cell r="A48" t="str">
            <v>A1030</v>
          </cell>
          <cell r="C48" t="str">
            <v>MD3 ED2 ED3 AD3 Preparation, Submission, Review &amp; Acceptance</v>
          </cell>
        </row>
        <row r="49">
          <cell r="A49" t="str">
            <v>A1030.1</v>
          </cell>
          <cell r="C49" t="str">
            <v>MD3 Preparation, Submission, Review &amp; Acceptance</v>
          </cell>
        </row>
        <row r="50">
          <cell r="A50" t="str">
            <v>A1030.1</v>
          </cell>
          <cell r="C50" t="str">
            <v>MD3 Weighbridge System Package (Rev 0a) Preparation by ALC</v>
          </cell>
        </row>
        <row r="51">
          <cell r="A51" t="str">
            <v>A1030.2</v>
          </cell>
          <cell r="C51" t="str">
            <v>MD3 Weighbridge System Package (Rev 0a) Submission to KSPL</v>
          </cell>
        </row>
        <row r="52">
          <cell r="A52" t="str">
            <v>A1030.3</v>
          </cell>
          <cell r="C52" t="str">
            <v>MD3 Weighbridge System Package (Rev 0a) Review (1st Round)</v>
          </cell>
        </row>
        <row r="53">
          <cell r="A53" t="str">
            <v>A1030.4</v>
          </cell>
          <cell r="C53" t="str">
            <v>MD3 Weighbridge System Package (Rev 0a) ALC Ammendment (1st Round)</v>
          </cell>
        </row>
        <row r="54">
          <cell r="A54" t="str">
            <v>A1030.5</v>
          </cell>
          <cell r="C54" t="str">
            <v>MD3 Weighbridge System Package (Rev 0b) Review (2nd Round)</v>
          </cell>
        </row>
        <row r="55">
          <cell r="A55" t="str">
            <v>A1030.6</v>
          </cell>
          <cell r="C55" t="str">
            <v>MD3 Weighbridge System Package (Rev 0b) ALC Ammendment (2nd Round)</v>
          </cell>
        </row>
        <row r="56">
          <cell r="A56" t="str">
            <v>A1030.7</v>
          </cell>
          <cell r="C56" t="str">
            <v>MD3 Weighbridge System Package (Rev 0) Review by SO/ NEA</v>
          </cell>
        </row>
        <row r="57">
          <cell r="A57" t="str">
            <v>A1030.8</v>
          </cell>
          <cell r="C57" t="str">
            <v>MD3 Weighbridge System Package (Rev 1a) Ammendment by ALC on SO comments and Re-submission to KSPL</v>
          </cell>
        </row>
        <row r="58">
          <cell r="A58" t="str">
            <v>A1030.9</v>
          </cell>
          <cell r="C58" t="str">
            <v>MD3 Weighbridge System Package (Rev 1a) Review (1st Round)</v>
          </cell>
        </row>
        <row r="59">
          <cell r="A59" t="str">
            <v>A1030.10</v>
          </cell>
          <cell r="C59" t="str">
            <v>MD3 Weighbridge System Package (Rev 1a) ALC Ammendment (1st Round)</v>
          </cell>
        </row>
        <row r="60">
          <cell r="A60" t="str">
            <v>A1030.11</v>
          </cell>
          <cell r="C60" t="str">
            <v>MD3 Weighbridge System Package (Rev 1b) Review (2nd Round)</v>
          </cell>
        </row>
        <row r="61">
          <cell r="A61" t="str">
            <v>A1030.12</v>
          </cell>
          <cell r="C61" t="str">
            <v>MD3 Weighbridge System Package (Rev 1b) ALC Ammendment (2nd Round)</v>
          </cell>
        </row>
        <row r="62">
          <cell r="A62" t="str">
            <v>A1030.13</v>
          </cell>
          <cell r="C62" t="str">
            <v>MD3 Weighbridge System Package (Rev 1) Review by SO/ NEA</v>
          </cell>
        </row>
        <row r="63">
          <cell r="A63" t="str">
            <v>A1030.14</v>
          </cell>
          <cell r="C63" t="str">
            <v>MD3 Weighbridge System Package (Review 2 and above monitored accepted with comments, No Re-submission Required)</v>
          </cell>
        </row>
        <row r="64">
          <cell r="A64" t="str">
            <v>A1030.2</v>
          </cell>
          <cell r="C64" t="str">
            <v>ED2 Preparation, Submission, Review &amp; Acceptance</v>
          </cell>
        </row>
        <row r="65">
          <cell r="A65" t="str">
            <v>A1030.2.1</v>
          </cell>
          <cell r="C65" t="str">
            <v>ED2 Weighbridge System Package (Rev 0a) Preparation by ALC</v>
          </cell>
        </row>
        <row r="66">
          <cell r="A66" t="str">
            <v>A1030.2.2</v>
          </cell>
          <cell r="C66" t="str">
            <v>ED2 Weighbridge System Package (Rev 0a) Submission to KSPL</v>
          </cell>
        </row>
        <row r="67">
          <cell r="A67" t="str">
            <v>A1030.2.3</v>
          </cell>
          <cell r="C67" t="str">
            <v>ED2 Weighbridge System Package (Rev 0a) Review (1st Round)</v>
          </cell>
        </row>
        <row r="68">
          <cell r="A68" t="str">
            <v>A1030.2.4</v>
          </cell>
          <cell r="C68" t="str">
            <v>ED2 Weighbridge System Package (Rev 0a) ALC Ammendment (1st Round)</v>
          </cell>
        </row>
        <row r="69">
          <cell r="A69" t="str">
            <v>A1030.2.5</v>
          </cell>
          <cell r="C69" t="str">
            <v>ED2 Weighbridge System Package (Rev 0b) Review (2nd Round)</v>
          </cell>
        </row>
        <row r="70">
          <cell r="A70" t="str">
            <v>A1030.2.6</v>
          </cell>
          <cell r="C70" t="str">
            <v>ED2 Weighbridge System Package (Rev 0b) ALC Ammendment (2nd Round)</v>
          </cell>
        </row>
        <row r="71">
          <cell r="A71" t="str">
            <v>A1030.2.7</v>
          </cell>
          <cell r="C71" t="str">
            <v>ED2 Weighbridge System Package (Rev 0) Review by SO/ NEA</v>
          </cell>
        </row>
        <row r="72">
          <cell r="A72" t="str">
            <v>A1030.2.8</v>
          </cell>
          <cell r="C72" t="str">
            <v>ED2 Weighbridge System Package (Rev 1a) Ammendment by ALC on SO comments and Re-submission to KSPL</v>
          </cell>
        </row>
        <row r="73">
          <cell r="A73" t="str">
            <v>A1030.2.9</v>
          </cell>
          <cell r="C73" t="str">
            <v>ED2 Weighbridge System Package (Rev 1a) Review (1st Round)</v>
          </cell>
        </row>
        <row r="74">
          <cell r="A74" t="str">
            <v>A1030.2.10</v>
          </cell>
          <cell r="C74" t="str">
            <v>ED2 Weighbridge System Package (Rev 1a) ALC Ammendment (1st Round)</v>
          </cell>
        </row>
        <row r="75">
          <cell r="A75" t="str">
            <v>A1030.2.11</v>
          </cell>
          <cell r="C75" t="str">
            <v>ED2 Weighbridge System Package (Rev 1b) Review (2nd Round)</v>
          </cell>
        </row>
        <row r="76">
          <cell r="A76" t="str">
            <v>A1030.2.12</v>
          </cell>
          <cell r="C76" t="str">
            <v>ED2 Weighbridge System Package (Rev 1b) ALC Ammendment (2nd Round)</v>
          </cell>
        </row>
        <row r="77">
          <cell r="A77" t="str">
            <v>A1030.2.13</v>
          </cell>
          <cell r="C77" t="str">
            <v>ED2 Weighbridge System Package (Rev 1) Review by SO/ NEA</v>
          </cell>
        </row>
        <row r="78">
          <cell r="A78" t="str">
            <v>A1030.2.14</v>
          </cell>
          <cell r="C78" t="str">
            <v>ED2 Weighbridge System Package (Review 2 and above monitored accepted with comments, No Re-submission Required)</v>
          </cell>
        </row>
        <row r="79">
          <cell r="A79" t="str">
            <v>A1030.3</v>
          </cell>
          <cell r="C79" t="str">
            <v>ED3 Preparation, Submission, Review &amp; Acceptance</v>
          </cell>
        </row>
        <row r="80">
          <cell r="A80" t="str">
            <v>A1030.3.1</v>
          </cell>
          <cell r="C80" t="str">
            <v>ED3 Weighbridge System Package (Rev 0a) Preparation by ALC</v>
          </cell>
        </row>
        <row r="81">
          <cell r="A81" t="str">
            <v>A1030.3.2</v>
          </cell>
          <cell r="C81" t="str">
            <v>ED3 Weighbridge System Package (Rev 0a) Submission to KSPL</v>
          </cell>
        </row>
        <row r="82">
          <cell r="A82" t="str">
            <v>A1030.3.3</v>
          </cell>
          <cell r="C82" t="str">
            <v>ED3 Weighbridge System Package (Rev 0a) Review (1st Round)</v>
          </cell>
        </row>
        <row r="83">
          <cell r="A83" t="str">
            <v>A1030.3.4</v>
          </cell>
          <cell r="C83" t="str">
            <v>ED3 Weighbridge System Package (Rev 0a) ALC Ammendment (1st Round)</v>
          </cell>
        </row>
        <row r="84">
          <cell r="A84" t="str">
            <v>A1030.3.5</v>
          </cell>
          <cell r="C84" t="str">
            <v>ED3 Weighbridge System Package (Rev 0b) Review (2nd Round)</v>
          </cell>
        </row>
        <row r="85">
          <cell r="A85" t="str">
            <v>A1030.3.6</v>
          </cell>
          <cell r="C85" t="str">
            <v>ED3 Weighbridge System Package (Rev 0b) ALC Ammendment (2nd Round)</v>
          </cell>
        </row>
        <row r="86">
          <cell r="A86" t="str">
            <v>A1030.3.7</v>
          </cell>
          <cell r="C86" t="str">
            <v>ED3 Weighbridge System Package (Rev 0) Review by SO/ NEA</v>
          </cell>
        </row>
        <row r="87">
          <cell r="A87" t="str">
            <v>A1030.3.8</v>
          </cell>
          <cell r="C87" t="str">
            <v>ED3 Weighbridge System Package (Rev 1a) Ammendment by ALC on SO comments and Re-submission to KSPL</v>
          </cell>
        </row>
        <row r="88">
          <cell r="A88" t="str">
            <v>A1030.3.9</v>
          </cell>
          <cell r="C88" t="str">
            <v>ED3 Weighbridge System Package (Rev 1a) Review (1st Round)</v>
          </cell>
        </row>
        <row r="89">
          <cell r="A89" t="str">
            <v>A1030.3.10</v>
          </cell>
          <cell r="C89" t="str">
            <v>ED3 Weighbridge System Package (Rev 1a) ALC Ammendment (1st Round)</v>
          </cell>
        </row>
        <row r="90">
          <cell r="A90" t="str">
            <v>A1030.3.11</v>
          </cell>
          <cell r="C90" t="str">
            <v>ED3 Weighbridge System Package (Rev 1b) Review (2nd Round)</v>
          </cell>
        </row>
        <row r="91">
          <cell r="A91" t="str">
            <v>A1030.3.12</v>
          </cell>
          <cell r="C91" t="str">
            <v>ED3 Weighbridge System Package (Rev 1b) ALC Ammendment (2nd Round)</v>
          </cell>
        </row>
        <row r="92">
          <cell r="A92" t="str">
            <v>A1030.3.13</v>
          </cell>
          <cell r="C92" t="str">
            <v>ED3 Weighbridge System Package (Rev 1) Review by SO/ NEA</v>
          </cell>
        </row>
        <row r="93">
          <cell r="A93" t="str">
            <v>A1030.3.13</v>
          </cell>
          <cell r="C93" t="str">
            <v>ED3 Weighbridge System Package (Review 2 and above monitored accepted with comments, No Re-submission Required)</v>
          </cell>
        </row>
        <row r="94">
          <cell r="A94" t="str">
            <v>A1030.4</v>
          </cell>
          <cell r="C94" t="str">
            <v>AD3 Preparation, Submission, Review &amp; Acceptance</v>
          </cell>
        </row>
        <row r="95">
          <cell r="A95" t="str">
            <v>A1030.4.1</v>
          </cell>
          <cell r="C95" t="str">
            <v>AD3 Weighbridge System Package (Rev 0a) Preparation by ALC</v>
          </cell>
        </row>
        <row r="96">
          <cell r="A96" t="str">
            <v>A1030.4.2</v>
          </cell>
          <cell r="C96" t="str">
            <v>AD3 Weighbridge System Package (Rev 0a) Submission to KSPL</v>
          </cell>
        </row>
        <row r="97">
          <cell r="A97" t="str">
            <v>A1030.4.3</v>
          </cell>
          <cell r="C97" t="str">
            <v>AD3 Weighbridge System Package (Rev 0a) Review (1st Round)</v>
          </cell>
        </row>
        <row r="98">
          <cell r="A98" t="str">
            <v>A1030.4.4</v>
          </cell>
          <cell r="C98" t="str">
            <v>AD3 Weighbridge System Package (Rev 0a) ALC Ammendment (1st Round)</v>
          </cell>
        </row>
        <row r="99">
          <cell r="A99" t="str">
            <v>A1030.4.5</v>
          </cell>
          <cell r="C99" t="str">
            <v>AD3 Weighbridge System Package (Rev 0b) Review (2nd Round)</v>
          </cell>
        </row>
        <row r="100">
          <cell r="A100" t="str">
            <v>A1030.4.6</v>
          </cell>
          <cell r="C100" t="str">
            <v>AD3 Weighbridge System Package (Rev 0b) ALC Ammendment (2nd Round)</v>
          </cell>
        </row>
        <row r="101">
          <cell r="A101" t="str">
            <v>A1030.4.7</v>
          </cell>
          <cell r="C101" t="str">
            <v>AD3 Weighbridge System Package (Rev 0) Review by SO/ NEA</v>
          </cell>
        </row>
        <row r="102">
          <cell r="A102" t="str">
            <v>A1030.4.8</v>
          </cell>
          <cell r="C102" t="str">
            <v>AD3 Weighbridge System Package (Rev 1a) Ammendment by ALC on SO comments and Re-submission to KSPL</v>
          </cell>
        </row>
        <row r="103">
          <cell r="A103" t="str">
            <v>A1030.4.9</v>
          </cell>
          <cell r="C103" t="str">
            <v>AD3 Weighbridge System Package (Rev 1a) Review (1st Round)</v>
          </cell>
        </row>
        <row r="104">
          <cell r="A104" t="str">
            <v>A1030.4.10</v>
          </cell>
          <cell r="C104" t="str">
            <v>AD3 Weighbridge System Package (Rev 1a) ALC Ammendment (1st Round)</v>
          </cell>
        </row>
        <row r="105">
          <cell r="A105" t="str">
            <v>A1030.4.11</v>
          </cell>
          <cell r="C105" t="str">
            <v>AD3 Weighbridge System Package (Rev 1b) Review (2nd Round)</v>
          </cell>
        </row>
        <row r="106">
          <cell r="A106" t="str">
            <v>A1030.4.12</v>
          </cell>
          <cell r="C106" t="str">
            <v>AD3 Weighbridge System Package (Rev 1b) ALC Ammendment (2nd Round)</v>
          </cell>
        </row>
        <row r="107">
          <cell r="A107" t="str">
            <v>A1030.4.13</v>
          </cell>
          <cell r="C107" t="str">
            <v>AD3 Weighbridge System Package (Rev 1) Review by SO/ NEA</v>
          </cell>
        </row>
        <row r="108">
          <cell r="A108" t="str">
            <v>A1030.4.14</v>
          </cell>
          <cell r="C108" t="str">
            <v>AD3 Weighbridge System Package (Review 2 and above monitored accepted with comments, No Re-submission Required)</v>
          </cell>
        </row>
        <row r="109">
          <cell r="A109" t="str">
            <v>A1085</v>
          </cell>
          <cell r="C109" t="str">
            <v>Traffic Modelling</v>
          </cell>
        </row>
        <row r="110">
          <cell r="A110" t="str">
            <v>A1085.T.01</v>
          </cell>
          <cell r="C110" t="str">
            <v>Award Traffic Modelling Consultant</v>
          </cell>
        </row>
        <row r="111">
          <cell r="A111" t="str">
            <v>A1085.T.02</v>
          </cell>
          <cell r="C111" t="str">
            <v>Kick-off Meeting</v>
          </cell>
        </row>
        <row r="112">
          <cell r="A112" t="str">
            <v>A1085.T.03</v>
          </cell>
          <cell r="C112" t="str">
            <v>First round of model findings in slides [Rev 0a]</v>
          </cell>
        </row>
        <row r="113">
          <cell r="A113" t="str">
            <v>A1085.T.04</v>
          </cell>
          <cell r="C113" t="str">
            <v>Comments on Rev 0a findings (allowing time for possible discussion and presentation)</v>
          </cell>
        </row>
        <row r="114">
          <cell r="A114" t="str">
            <v>A1085.T.05</v>
          </cell>
          <cell r="C114" t="str">
            <v>Second round of model findings in slides [Rev 0b]</v>
          </cell>
        </row>
        <row r="115">
          <cell r="A115" t="str">
            <v>A1085.T.06</v>
          </cell>
          <cell r="C115" t="str">
            <v>Submit to SO/ NEA [Rev 0]</v>
          </cell>
        </row>
        <row r="116">
          <cell r="A116" t="str">
            <v>A1085.T.07</v>
          </cell>
          <cell r="C116" t="str">
            <v>Third round of model findings in slides [Rev 1a]</v>
          </cell>
        </row>
        <row r="117">
          <cell r="A117" t="str">
            <v>A1085.T.08</v>
          </cell>
          <cell r="C117" t="str">
            <v>Comments on Rev 1a findings (allowing time for possible discussion and presentation)</v>
          </cell>
        </row>
        <row r="118">
          <cell r="A118" t="str">
            <v>A1085.T.09</v>
          </cell>
          <cell r="C118" t="str">
            <v>Fourth round of model findings in slides [Rev 1b]</v>
          </cell>
        </row>
        <row r="119">
          <cell r="A119" t="str">
            <v>A1085.T.10</v>
          </cell>
          <cell r="C119" t="str">
            <v>Submit to SO/ NEA [Rev 1]</v>
          </cell>
        </row>
        <row r="120">
          <cell r="A120" t="str">
            <v>A1085.T.11</v>
          </cell>
          <cell r="C120" t="str">
            <v>Fifth round of model findings in slides [Rev 2a]</v>
          </cell>
        </row>
        <row r="121">
          <cell r="A121" t="str">
            <v>A1085.T.12</v>
          </cell>
          <cell r="C121" t="str">
            <v>Comments on Rev 2a findings (allowing time for possible discussion and presentation)</v>
          </cell>
        </row>
        <row r="122">
          <cell r="A122" t="str">
            <v>A1085.T.13</v>
          </cell>
          <cell r="C122" t="str">
            <v>Sixth round of model findings in slides [Rev 2b]</v>
          </cell>
        </row>
        <row r="123">
          <cell r="A123" t="str">
            <v>A1085.T.14</v>
          </cell>
          <cell r="C123" t="str">
            <v>Submit to SO/ NEA [Rev 2]</v>
          </cell>
        </row>
        <row r="124">
          <cell r="A124" t="str">
            <v>A1085.T.15</v>
          </cell>
          <cell r="C124" t="str">
            <v>Final Model findings report</v>
          </cell>
        </row>
        <row r="125">
          <cell r="A125" t="str">
            <v>A1085.T.16</v>
          </cell>
          <cell r="C125" t="str">
            <v>Final presentation / confirmation on findings</v>
          </cell>
        </row>
        <row r="126">
          <cell r="A126" t="str">
            <v>A1085.T.17</v>
          </cell>
          <cell r="C126" t="str">
            <v>Comments on final report</v>
          </cell>
        </row>
        <row r="127">
          <cell r="A127" t="str">
            <v>A1085.T.18</v>
          </cell>
          <cell r="C127" t="str">
            <v>Submit &amp; Confirmation of final report by SO/NEA</v>
          </cell>
        </row>
        <row r="128">
          <cell r="A128" t="str">
            <v>A1050</v>
          </cell>
          <cell r="C128" t="str">
            <v>Procurement</v>
          </cell>
        </row>
        <row r="129">
          <cell r="A129" t="str">
            <v>A1050.P.01</v>
          </cell>
          <cell r="C129" t="str">
            <v>Weighbridges</v>
          </cell>
        </row>
        <row r="130">
          <cell r="A130" t="str">
            <v>A1050.P.02</v>
          </cell>
          <cell r="C130" t="str">
            <v>Furniture</v>
          </cell>
        </row>
        <row r="131">
          <cell r="A131" t="str">
            <v>A1050.P.03</v>
          </cell>
          <cell r="C131" t="str">
            <v>UPS &amp; 19" Racks</v>
          </cell>
        </row>
        <row r="132">
          <cell r="A132" t="str">
            <v>A1050.P.04</v>
          </cell>
          <cell r="C132" t="str">
            <v>Public Announcement System</v>
          </cell>
        </row>
        <row r="133">
          <cell r="A133" t="str">
            <v>A1050.P.05</v>
          </cell>
          <cell r="C133" t="str">
            <v>Electrical &amp; Structured Cabling Services(By Others)</v>
          </cell>
        </row>
        <row r="134">
          <cell r="A134" t="str">
            <v>A1050.P.06</v>
          </cell>
          <cell r="C134" t="str">
            <v>Data Processing Equipment</v>
          </cell>
        </row>
        <row r="135">
          <cell r="A135" t="str">
            <v>A1050.P.07</v>
          </cell>
          <cell r="C135" t="str">
            <v>Data Communication Equipment</v>
          </cell>
        </row>
        <row r="136">
          <cell r="A136" t="str">
            <v>A1050.P.08</v>
          </cell>
          <cell r="C136" t="str">
            <v>Station Integrated with Interfacing Controller for Receipt, Intercom, RFID, Biometrics, Traffic Lights, Vehicle Barrier</v>
          </cell>
        </row>
        <row r="137">
          <cell r="A137" t="str">
            <v>A1050.P.09</v>
          </cell>
          <cell r="C137" t="str">
            <v>Video Recording System, LPR Hardware and Accessories</v>
          </cell>
        </row>
        <row r="138">
          <cell r="A138" t="str">
            <v>A1050.P.10</v>
          </cell>
          <cell r="C138" t="str">
            <v>Zonal Detection System</v>
          </cell>
        </row>
        <row r="139">
          <cell r="A139" t="str">
            <v>A1050.P.11</v>
          </cell>
          <cell r="C139" t="str">
            <v>Radioactive Devices</v>
          </cell>
        </row>
        <row r="140">
          <cell r="A140" t="str">
            <v>A1050.P.12</v>
          </cell>
          <cell r="C140" t="str">
            <v>Heat Detection Devices</v>
          </cell>
        </row>
        <row r="141">
          <cell r="A141" t="str">
            <v>A1050.P.13</v>
          </cell>
          <cell r="C141" t="str">
            <v>Ash Truck Positioning and Empty/Full Detection Devices</v>
          </cell>
        </row>
        <row r="142">
          <cell r="A142" t="str">
            <v>A1050.P.14</v>
          </cell>
          <cell r="C142" t="str">
            <v>Purchase and Delivery of Casted Items(Others) -Batch 1</v>
          </cell>
        </row>
        <row r="143">
          <cell r="A143" t="str">
            <v>A1050.P.15</v>
          </cell>
          <cell r="C143" t="str">
            <v>Purchase and Delivery of Casted Items(Others) - Batch 2</v>
          </cell>
        </row>
        <row r="144">
          <cell r="C144" t="str">
            <v>Manufacture / Fabrication / Delivery</v>
          </cell>
        </row>
        <row r="145">
          <cell r="A145" t="str">
            <v>A1060</v>
          </cell>
          <cell r="C145" t="str">
            <v>Manufacture Commence Data (Commence Date should be notified by KSPL)</v>
          </cell>
        </row>
        <row r="146">
          <cell r="A146" t="str">
            <v>A1060.M.01</v>
          </cell>
          <cell r="C146" t="str">
            <v>Weighbridges</v>
          </cell>
        </row>
        <row r="147">
          <cell r="A147" t="str">
            <v>A1060.M.02</v>
          </cell>
          <cell r="C147" t="str">
            <v>Furniture</v>
          </cell>
        </row>
        <row r="148">
          <cell r="A148" t="str">
            <v>A1060.M.03</v>
          </cell>
          <cell r="C148" t="str">
            <v>UPS &amp; 19" Racks</v>
          </cell>
        </row>
        <row r="149">
          <cell r="A149" t="str">
            <v>A1060.M.04</v>
          </cell>
          <cell r="C149" t="str">
            <v>Public Announcement System</v>
          </cell>
        </row>
        <row r="150">
          <cell r="A150" t="str">
            <v>A1060.M.05</v>
          </cell>
          <cell r="C150" t="str">
            <v>Electrical &amp; Structured Cabling Services</v>
          </cell>
        </row>
        <row r="151">
          <cell r="A151" t="str">
            <v>A1060.M.06</v>
          </cell>
          <cell r="C151" t="str">
            <v>Data Processing Equipment</v>
          </cell>
        </row>
        <row r="152">
          <cell r="A152" t="str">
            <v>A1060.M.07</v>
          </cell>
          <cell r="C152" t="str">
            <v>Data Communication Equipment</v>
          </cell>
        </row>
        <row r="153">
          <cell r="A153" t="str">
            <v>A1060.M.08</v>
          </cell>
          <cell r="C153" t="str">
            <v>Station Integrated with Interfacing Controller for Receipt, Intercom, RFID, Biometrics, Traffic Lights, Vehicle Barrier</v>
          </cell>
        </row>
        <row r="154">
          <cell r="A154" t="str">
            <v>A1060.M.09</v>
          </cell>
          <cell r="C154" t="str">
            <v>Video Recording System, LPR Hardware and Accessories</v>
          </cell>
        </row>
        <row r="155">
          <cell r="A155" t="str">
            <v>A1060.M.10</v>
          </cell>
          <cell r="C155" t="str">
            <v>Zonal Detection System</v>
          </cell>
        </row>
        <row r="156">
          <cell r="A156" t="str">
            <v>A1060.M.11</v>
          </cell>
          <cell r="C156" t="str">
            <v>Radioactive Devices</v>
          </cell>
        </row>
        <row r="157">
          <cell r="A157" t="str">
            <v>A1060.M.12</v>
          </cell>
          <cell r="C157" t="str">
            <v>Heat Detection Devices</v>
          </cell>
        </row>
        <row r="158">
          <cell r="A158" t="str">
            <v>A1060.M.13</v>
          </cell>
          <cell r="C158" t="str">
            <v>Ash Truck Positioning and Empty/Full Detection Devices</v>
          </cell>
        </row>
        <row r="159">
          <cell r="A159" t="str">
            <v>A1070</v>
          </cell>
          <cell r="C159" t="str">
            <v>Completion of FAT for Weighbridge System</v>
          </cell>
        </row>
        <row r="160">
          <cell r="A160" t="str">
            <v>A1070.F.01</v>
          </cell>
          <cell r="C160" t="str">
            <v>FAT for Weighbridge</v>
          </cell>
        </row>
        <row r="161">
          <cell r="A161" t="str">
            <v>A1070.F.02</v>
          </cell>
          <cell r="C161" t="str">
            <v>FAT for Zonal Detection</v>
          </cell>
        </row>
        <row r="162">
          <cell r="A162" t="str">
            <v>A1070.F.03</v>
          </cell>
          <cell r="C162" t="str">
            <v>FAT for Ash Truck Positioning and Empty/Full Detection Devices</v>
          </cell>
        </row>
        <row r="163">
          <cell r="A163" t="str">
            <v>A1070.F.04</v>
          </cell>
          <cell r="C163" t="str">
            <v>Preparation of Holding Area for weighbridge platforms</v>
          </cell>
        </row>
        <row r="164">
          <cell r="A164" t="str">
            <v>A1080</v>
          </cell>
          <cell r="C164" t="str">
            <v>Delivery to Site</v>
          </cell>
        </row>
        <row r="165">
          <cell r="A165" t="str">
            <v>A1080.D.00</v>
          </cell>
          <cell r="C165" t="str">
            <v>Architectural and Building Service Works</v>
          </cell>
        </row>
        <row r="166">
          <cell r="A166" t="str">
            <v>A1080.D.01</v>
          </cell>
          <cell r="C166" t="str">
            <v>Weighbridge System delivery</v>
          </cell>
        </row>
        <row r="167">
          <cell r="A167" t="str">
            <v>A1080.D.02</v>
          </cell>
          <cell r="C167" t="str">
            <v>Other Weighbridge Equipments</v>
          </cell>
        </row>
        <row r="168">
          <cell r="A168" t="str">
            <v>A1080.D.03</v>
          </cell>
          <cell r="C168" t="str">
            <v>Weighbridge Platform</v>
          </cell>
        </row>
        <row r="169">
          <cell r="A169" t="str">
            <v>A1080.D.04</v>
          </cell>
          <cell r="C169" t="str">
            <v>Zonal Detection System delivery</v>
          </cell>
        </row>
        <row r="170">
          <cell r="A170" t="str">
            <v>A1080.D.05</v>
          </cell>
          <cell r="C170" t="str">
            <v>Ash Truck Positioning and Empty/Full Detection Devices delivery</v>
          </cell>
        </row>
        <row r="171">
          <cell r="A171" t="str">
            <v>A1090</v>
          </cell>
          <cell r="C171" t="str">
            <v>Installation</v>
          </cell>
        </row>
        <row r="172">
          <cell r="A172" t="str">
            <v>A1090.I.01</v>
          </cell>
          <cell r="C172" t="str">
            <v>Weighbridge Foundation &amp; Control Room ready for Installation</v>
          </cell>
        </row>
        <row r="173">
          <cell r="A173" t="str">
            <v>A1090.I.02</v>
          </cell>
          <cell r="C173" t="str">
            <v>Electrical and instrumentation works</v>
          </cell>
        </row>
        <row r="174">
          <cell r="A174" t="str">
            <v>A1090.I.03</v>
          </cell>
          <cell r="C174" t="str">
            <v>Public Announcement System</v>
          </cell>
        </row>
        <row r="175">
          <cell r="A175" t="str">
            <v>A1090.I.04</v>
          </cell>
          <cell r="C175" t="str">
            <v>Weighbridges</v>
          </cell>
        </row>
        <row r="176">
          <cell r="A176" t="str">
            <v>A1090.I.05</v>
          </cell>
          <cell r="C176" t="str">
            <v>Furniture</v>
          </cell>
        </row>
        <row r="177">
          <cell r="A177" t="str">
            <v>A1090.I.06</v>
          </cell>
          <cell r="C177" t="str">
            <v>Rack</v>
          </cell>
        </row>
        <row r="178">
          <cell r="A178" t="str">
            <v>A1090.I.07</v>
          </cell>
          <cell r="C178" t="str">
            <v>UPS</v>
          </cell>
        </row>
        <row r="179">
          <cell r="A179" t="str">
            <v>A1090.I.08</v>
          </cell>
          <cell r="C179" t="str">
            <v>Data Processing System (DPS)</v>
          </cell>
        </row>
        <row r="180">
          <cell r="A180" t="str">
            <v>A1090.I.09</v>
          </cell>
          <cell r="C180" t="str">
            <v>Data Communication System</v>
          </cell>
        </row>
        <row r="181">
          <cell r="A181" t="str">
            <v>A1090.I.10</v>
          </cell>
          <cell r="C181" t="str">
            <v>Interfacing Controller (IFC)</v>
          </cell>
        </row>
        <row r="182">
          <cell r="A182" t="str">
            <v>A1090.I.11</v>
          </cell>
          <cell r="C182" t="str">
            <v>Weighbridge Intercom Kiosk</v>
          </cell>
        </row>
        <row r="183">
          <cell r="A183" t="str">
            <v>A1090.I.12</v>
          </cell>
          <cell r="C183" t="str">
            <v>EPS Antenna</v>
          </cell>
        </row>
        <row r="184">
          <cell r="A184" t="str">
            <v>A1090.I.13</v>
          </cell>
          <cell r="C184" t="str">
            <v>Traffic Lights</v>
          </cell>
        </row>
        <row r="185">
          <cell r="A185" t="str">
            <v>A1090.I.14</v>
          </cell>
          <cell r="C185" t="str">
            <v>Barriers</v>
          </cell>
        </row>
        <row r="186">
          <cell r="A186" t="str">
            <v>A1090.I.15</v>
          </cell>
          <cell r="C186" t="str">
            <v>License Plate Recognition System (LPR)</v>
          </cell>
        </row>
        <row r="187">
          <cell r="A187" t="str">
            <v>A1090.I.16</v>
          </cell>
          <cell r="C187" t="str">
            <v>Video Recording System (VRS)</v>
          </cell>
        </row>
        <row r="188">
          <cell r="A188" t="str">
            <v>A1090.I.17</v>
          </cell>
          <cell r="C188" t="str">
            <v>Radioactive Devices</v>
          </cell>
        </row>
        <row r="189">
          <cell r="A189" t="str">
            <v>A1090.I.18</v>
          </cell>
          <cell r="C189" t="str">
            <v>Load Heat Detection Devices</v>
          </cell>
        </row>
        <row r="190">
          <cell r="A190" t="str">
            <v>A1090.I.19</v>
          </cell>
          <cell r="C190" t="str">
            <v>Single weighbridge physical mock-up</v>
          </cell>
        </row>
        <row r="191">
          <cell r="A191" t="str">
            <v>A1090.I.20</v>
          </cell>
          <cell r="C191" t="str">
            <v>Zonal Detection System</v>
          </cell>
        </row>
        <row r="192">
          <cell r="A192" t="str">
            <v>A1090.I.21</v>
          </cell>
          <cell r="C192" t="str">
            <v>Ash Truck Positioning and Empty/Full Detection Devices</v>
          </cell>
        </row>
        <row r="193">
          <cell r="C193" t="str">
            <v>Testing &amp; Commissioning</v>
          </cell>
        </row>
        <row r="194">
          <cell r="A194" t="str">
            <v>A1100</v>
          </cell>
          <cell r="C194" t="str">
            <v>ERP/ DCS Interface Readiness</v>
          </cell>
        </row>
        <row r="195">
          <cell r="A195" t="str">
            <v>A1110</v>
          </cell>
          <cell r="C195" t="str">
            <v>Site Acceptance Test</v>
          </cell>
        </row>
        <row r="196">
          <cell r="A196" t="str">
            <v>A1110.S.01</v>
          </cell>
          <cell r="C196" t="str">
            <v>Client Inspection of Weighbridge Sub-system</v>
          </cell>
        </row>
        <row r="197">
          <cell r="A197" t="str">
            <v>A1110.S.02</v>
          </cell>
          <cell r="C197" t="str">
            <v>Client Inspection of Zonal Detection Sub-system</v>
          </cell>
        </row>
        <row r="198">
          <cell r="A198" t="str">
            <v>A1110.S.03</v>
          </cell>
          <cell r="C198" t="str">
            <v>Punchlist Clearance</v>
          </cell>
        </row>
        <row r="199">
          <cell r="A199" t="str">
            <v>A1110.S.04</v>
          </cell>
          <cell r="C199" t="str">
            <v>User Training</v>
          </cell>
        </row>
        <row r="200">
          <cell r="A200" t="str">
            <v>A1120</v>
          </cell>
          <cell r="C200" t="str">
            <v>System Commissioning Test</v>
          </cell>
        </row>
        <row r="201">
          <cell r="A201" t="str">
            <v>A1120.S.01</v>
          </cell>
          <cell r="C201" t="str">
            <v>Weighbridge (Line 1&amp;2) System Conduct System Commissioning Test - Hardware</v>
          </cell>
        </row>
        <row r="202">
          <cell r="A202" t="str">
            <v>A1120.S.02</v>
          </cell>
          <cell r="C202" t="str">
            <v>Weighbridge (Line 1&amp;2) System Conduct System Commissioning Test - Software</v>
          </cell>
        </row>
        <row r="203">
          <cell r="A203" t="str">
            <v>A1120.S.03</v>
          </cell>
          <cell r="C203" t="str">
            <v>Weighbridge Zonal System Conduct System Commissioning Test</v>
          </cell>
        </row>
        <row r="204">
          <cell r="A204" t="str">
            <v>A1120.S.04</v>
          </cell>
          <cell r="C204" t="str">
            <v>Weighbridge (Line 3&amp;4) System Commissioning Test</v>
          </cell>
        </row>
        <row r="205">
          <cell r="A205" t="str">
            <v>A1130</v>
          </cell>
          <cell r="C205" t="str">
            <v>Successful Completion of Trial Operation Test</v>
          </cell>
        </row>
        <row r="206">
          <cell r="A206" t="str">
            <v>A1150</v>
          </cell>
          <cell r="C206" t="str">
            <v>Completion of the whole Sub-Contract Works</v>
          </cell>
        </row>
      </sheetData>
      <sheetData sheetId="3">
        <row r="1">
          <cell r="A1" t="str">
            <v>Activity ID</v>
          </cell>
          <cell r="B1" t="str">
            <v>Payment Milestone</v>
          </cell>
          <cell r="C1" t="str">
            <v>Activity Name</v>
          </cell>
          <cell r="D1" t="str">
            <v>Original Duration</v>
          </cell>
          <cell r="E1" t="str">
            <v>Physical % Complete</v>
          </cell>
          <cell r="F1" t="str">
            <v>Actual % Complete</v>
          </cell>
          <cell r="G1" t="str">
            <v>Schedule % Complete</v>
          </cell>
          <cell r="H1" t="str">
            <v>Start</v>
          </cell>
          <cell r="I1" t="str">
            <v>Finish</v>
          </cell>
          <cell r="J1" t="str">
            <v>Start</v>
          </cell>
          <cell r="K1" t="str">
            <v>Finish</v>
          </cell>
          <cell r="L1" t="str">
            <v>Basline Start</v>
          </cell>
          <cell r="M1" t="str">
            <v>Baseline Finish</v>
          </cell>
          <cell r="N1" t="str">
            <v>Actual Start</v>
          </cell>
          <cell r="O1" t="str">
            <v>Actual Finish</v>
          </cell>
          <cell r="P1" t="str">
            <v>Total Float</v>
          </cell>
          <cell r="Q1" t="str">
            <v>Earned Value Cost</v>
          </cell>
        </row>
        <row r="2">
          <cell r="A2" t="str">
            <v xml:space="preserve">SIWMF </v>
          </cell>
        </row>
        <row r="3">
          <cell r="A3" t="str">
            <v>SIWMF Application</v>
          </cell>
        </row>
        <row r="7">
          <cell r="C7" t="str">
            <v>SIWMF Baseline</v>
          </cell>
          <cell r="D7" t="str">
            <v>1906</v>
          </cell>
          <cell r="F7" t="str">
            <v>59%</v>
          </cell>
          <cell r="G7" t="str">
            <v>100%</v>
          </cell>
          <cell r="H7" t="str">
            <v>09 Mar 2021</v>
          </cell>
          <cell r="I7" t="str">
            <v>07 Oct 2025</v>
          </cell>
          <cell r="J7">
            <v>44264</v>
          </cell>
          <cell r="K7">
            <v>46527</v>
          </cell>
          <cell r="L7">
            <v>44264</v>
          </cell>
          <cell r="M7">
            <v>45937</v>
          </cell>
          <cell r="N7">
            <v>44264</v>
          </cell>
          <cell r="O7" t="str">
            <v>NA</v>
          </cell>
        </row>
        <row r="8">
          <cell r="A8" t="str">
            <v>A1000</v>
          </cell>
          <cell r="C8" t="str">
            <v>Contract Award</v>
          </cell>
          <cell r="D8" t="str">
            <v>0.89</v>
          </cell>
          <cell r="F8" t="str">
            <v>100%</v>
          </cell>
          <cell r="G8" t="str">
            <v>100%</v>
          </cell>
          <cell r="H8" t="str">
            <v>09 Mar 2021</v>
          </cell>
          <cell r="I8" t="str">
            <v>09 Mar 2021</v>
          </cell>
          <cell r="J8">
            <v>44264</v>
          </cell>
          <cell r="K8">
            <v>44264</v>
          </cell>
          <cell r="L8">
            <v>44264</v>
          </cell>
          <cell r="M8">
            <v>44264</v>
          </cell>
          <cell r="N8">
            <v>44264</v>
          </cell>
          <cell r="O8">
            <v>44264</v>
          </cell>
        </row>
        <row r="9">
          <cell r="A9" t="str">
            <v>A1020.14</v>
          </cell>
          <cell r="C9" t="str">
            <v>Detailed Design for weighbridge MD2/AD2 Review and Acceptance by SO</v>
          </cell>
          <cell r="D9" t="str">
            <v>0</v>
          </cell>
          <cell r="F9" t="str">
            <v>100%</v>
          </cell>
          <cell r="G9" t="str">
            <v>100%</v>
          </cell>
          <cell r="H9" t="str">
            <v>21 Jan 2022</v>
          </cell>
          <cell r="I9" t="str">
            <v>21 Jan 2022</v>
          </cell>
          <cell r="J9">
            <v>44582</v>
          </cell>
          <cell r="K9">
            <v>44582</v>
          </cell>
          <cell r="L9">
            <v>44582</v>
          </cell>
          <cell r="M9">
            <v>44582</v>
          </cell>
          <cell r="N9">
            <v>44582</v>
          </cell>
          <cell r="O9">
            <v>44582</v>
          </cell>
        </row>
        <row r="10">
          <cell r="A10" t="str">
            <v>A1070.F.05</v>
          </cell>
          <cell r="C10" t="str">
            <v>Successful Completion of Factory acceptance Test(FAT)</v>
          </cell>
          <cell r="D10" t="str">
            <v>0</v>
          </cell>
          <cell r="F10" t="str">
            <v>0%</v>
          </cell>
          <cell r="G10" t="str">
            <v>100%</v>
          </cell>
          <cell r="H10" t="str">
            <v>24 Oct 2023</v>
          </cell>
          <cell r="I10" t="str">
            <v>24 Oct 2023</v>
          </cell>
          <cell r="J10">
            <v>45877</v>
          </cell>
          <cell r="K10">
            <v>45877</v>
          </cell>
          <cell r="L10">
            <v>45223</v>
          </cell>
          <cell r="M10">
            <v>45223</v>
          </cell>
          <cell r="N10" t="str">
            <v>NA</v>
          </cell>
          <cell r="O10" t="str">
            <v>NA</v>
          </cell>
        </row>
        <row r="11">
          <cell r="A11" t="str">
            <v>A1080.D.06</v>
          </cell>
          <cell r="C11" t="str">
            <v>Time for Delivery of Weighbridge System</v>
          </cell>
          <cell r="D11" t="str">
            <v>0</v>
          </cell>
          <cell r="F11" t="str">
            <v>0%</v>
          </cell>
          <cell r="G11" t="str">
            <v>100%</v>
          </cell>
          <cell r="H11" t="str">
            <v>02 Jan 2024</v>
          </cell>
          <cell r="I11" t="str">
            <v>02 Jan 2024</v>
          </cell>
          <cell r="J11">
            <v>45944</v>
          </cell>
          <cell r="K11">
            <v>45944</v>
          </cell>
          <cell r="L11">
            <v>45293</v>
          </cell>
          <cell r="M11">
            <v>45293</v>
          </cell>
          <cell r="N11" t="str">
            <v>NA</v>
          </cell>
          <cell r="O11" t="str">
            <v>NA</v>
          </cell>
        </row>
        <row r="12">
          <cell r="A12" t="str">
            <v>A1090.I.22</v>
          </cell>
          <cell r="C12" t="str">
            <v>Completion of Weighbridge Mechanical , EIAC and Zonal Detection System</v>
          </cell>
          <cell r="D12" t="str">
            <v>0</v>
          </cell>
          <cell r="F12" t="str">
            <v>0%</v>
          </cell>
          <cell r="G12" t="str">
            <v>100%</v>
          </cell>
          <cell r="H12" t="str">
            <v>15 May 2024</v>
          </cell>
          <cell r="I12" t="str">
            <v>15 May 2024</v>
          </cell>
          <cell r="J12">
            <v>46060</v>
          </cell>
          <cell r="K12">
            <v>46060</v>
          </cell>
          <cell r="L12">
            <v>45427</v>
          </cell>
          <cell r="M12">
            <v>45427</v>
          </cell>
          <cell r="N12" t="str">
            <v>NA</v>
          </cell>
          <cell r="O12" t="str">
            <v>NA</v>
          </cell>
        </row>
        <row r="13">
          <cell r="A13" t="str">
            <v>A1110.S.04</v>
          </cell>
          <cell r="C13" t="str">
            <v>Successful SAT of Weighbridge system</v>
          </cell>
          <cell r="D13" t="str">
            <v>0</v>
          </cell>
          <cell r="F13" t="str">
            <v>0%</v>
          </cell>
          <cell r="G13" t="str">
            <v>100%</v>
          </cell>
          <cell r="H13" t="str">
            <v>31 Jul 2024</v>
          </cell>
          <cell r="I13" t="str">
            <v>31 Jul 2024</v>
          </cell>
          <cell r="J13">
            <v>46122</v>
          </cell>
          <cell r="K13">
            <v>46122</v>
          </cell>
          <cell r="L13">
            <v>45504</v>
          </cell>
          <cell r="M13">
            <v>45504</v>
          </cell>
          <cell r="N13" t="str">
            <v>NA</v>
          </cell>
          <cell r="O13" t="str">
            <v>NA</v>
          </cell>
        </row>
        <row r="14">
          <cell r="A14" t="str">
            <v>A1130.15</v>
          </cell>
          <cell r="C14" t="str">
            <v>Successful Completion of Trial Operation</v>
          </cell>
          <cell r="D14" t="str">
            <v>0</v>
          </cell>
          <cell r="F14" t="str">
            <v>0%</v>
          </cell>
          <cell r="G14" t="str">
            <v>100%</v>
          </cell>
          <cell r="H14" t="str">
            <v>09 Jul 2025</v>
          </cell>
          <cell r="I14" t="str">
            <v>09 Jul 2025</v>
          </cell>
          <cell r="J14">
            <v>46464</v>
          </cell>
          <cell r="K14">
            <v>46464</v>
          </cell>
          <cell r="L14">
            <v>45847</v>
          </cell>
          <cell r="M14">
            <v>45847</v>
          </cell>
          <cell r="N14" t="str">
            <v>NA</v>
          </cell>
          <cell r="O14" t="str">
            <v>NA</v>
          </cell>
        </row>
        <row r="15">
          <cell r="A15" t="str">
            <v>A1160</v>
          </cell>
          <cell r="C15" t="str">
            <v>Completion of the whole of the Sub-Contract Works</v>
          </cell>
          <cell r="D15" t="str">
            <v>0</v>
          </cell>
          <cell r="F15" t="str">
            <v>0%</v>
          </cell>
          <cell r="G15" t="str">
            <v>100%</v>
          </cell>
          <cell r="H15" t="str">
            <v>07 Oct 2025</v>
          </cell>
          <cell r="I15" t="str">
            <v>07 Oct 2025</v>
          </cell>
          <cell r="J15">
            <v>46527</v>
          </cell>
          <cell r="K15">
            <v>46527</v>
          </cell>
          <cell r="L15">
            <v>45937</v>
          </cell>
          <cell r="M15">
            <v>45937</v>
          </cell>
          <cell r="N15" t="str">
            <v>NA</v>
          </cell>
          <cell r="O15" t="str">
            <v>NA</v>
          </cell>
        </row>
        <row r="16">
          <cell r="C16" t="str">
            <v>Process Engineering (Detailed Design Milestone)</v>
          </cell>
          <cell r="D16" t="str">
            <v>1141.53</v>
          </cell>
          <cell r="F16" t="str">
            <v>100%</v>
          </cell>
          <cell r="G16" t="str">
            <v>100%</v>
          </cell>
          <cell r="H16" t="str">
            <v>19 Mar 2021</v>
          </cell>
          <cell r="I16" t="str">
            <v>22 Jul 2023</v>
          </cell>
          <cell r="J16">
            <v>44274</v>
          </cell>
          <cell r="K16">
            <v>45646</v>
          </cell>
          <cell r="L16">
            <v>44274</v>
          </cell>
          <cell r="M16">
            <v>45129</v>
          </cell>
          <cell r="N16">
            <v>44274</v>
          </cell>
          <cell r="O16">
            <v>45646</v>
          </cell>
        </row>
        <row r="17">
          <cell r="A17" t="str">
            <v>A1010</v>
          </cell>
          <cell r="C17" t="str">
            <v>MD1 AD1 Preparation, Submission, Review &amp; Acceptance</v>
          </cell>
          <cell r="D17" t="str">
            <v>10.67</v>
          </cell>
          <cell r="F17" t="str">
            <v>100%</v>
          </cell>
          <cell r="G17" t="str">
            <v>100%</v>
          </cell>
          <cell r="H17" t="str">
            <v>19 Mar 2021</v>
          </cell>
          <cell r="I17" t="str">
            <v>03 Apr 2021</v>
          </cell>
          <cell r="J17">
            <v>44274</v>
          </cell>
          <cell r="K17">
            <v>44289</v>
          </cell>
          <cell r="L17">
            <v>44274</v>
          </cell>
          <cell r="M17">
            <v>44289</v>
          </cell>
          <cell r="N17">
            <v>44274</v>
          </cell>
          <cell r="O17">
            <v>44289</v>
          </cell>
        </row>
        <row r="18">
          <cell r="A18" t="str">
            <v>A1020</v>
          </cell>
          <cell r="C18" t="str">
            <v>MD2 ED1 AD2 Preparation, Submission, Review &amp; Acceptance</v>
          </cell>
          <cell r="D18" t="str">
            <v>754</v>
          </cell>
          <cell r="F18" t="str">
            <v>100%</v>
          </cell>
          <cell r="G18" t="str">
            <v>100%</v>
          </cell>
          <cell r="H18" t="str">
            <v>07 Apr 2021</v>
          </cell>
          <cell r="I18" t="str">
            <v>08 Jul 2023</v>
          </cell>
          <cell r="J18">
            <v>44293</v>
          </cell>
          <cell r="K18">
            <v>45201</v>
          </cell>
          <cell r="L18">
            <v>44293</v>
          </cell>
          <cell r="M18">
            <v>45115</v>
          </cell>
          <cell r="N18">
            <v>44293</v>
          </cell>
          <cell r="O18">
            <v>45201</v>
          </cell>
        </row>
        <row r="19">
          <cell r="A19" t="str">
            <v>A1020.1</v>
          </cell>
          <cell r="C19" t="str">
            <v>MD2 Weighbridge System Package (Rev 0a) Preparation by ALC</v>
          </cell>
          <cell r="D19" t="str">
            <v>56.89</v>
          </cell>
          <cell r="F19" t="str">
            <v>100%</v>
          </cell>
          <cell r="G19" t="str">
            <v>100%</v>
          </cell>
          <cell r="H19" t="str">
            <v>07 Apr 2021</v>
          </cell>
          <cell r="I19" t="str">
            <v>16 Jun 2021</v>
          </cell>
          <cell r="J19">
            <v>44293</v>
          </cell>
          <cell r="K19">
            <v>44363</v>
          </cell>
          <cell r="L19">
            <v>44293</v>
          </cell>
          <cell r="M19">
            <v>44363</v>
          </cell>
          <cell r="N19">
            <v>44293</v>
          </cell>
          <cell r="O19">
            <v>44363</v>
          </cell>
        </row>
        <row r="20">
          <cell r="A20" t="str">
            <v>A1020.2</v>
          </cell>
          <cell r="C20" t="str">
            <v>MD2 Weighbridge System Package (Rev 0a) Submission to KSPL</v>
          </cell>
          <cell r="D20" t="str">
            <v>1</v>
          </cell>
          <cell r="F20" t="str">
            <v>100%</v>
          </cell>
          <cell r="G20" t="str">
            <v>100%</v>
          </cell>
          <cell r="H20" t="str">
            <v>17 Jun 2021</v>
          </cell>
          <cell r="I20" t="str">
            <v>17 Jun 2021</v>
          </cell>
          <cell r="J20">
            <v>44364</v>
          </cell>
          <cell r="K20">
            <v>44364</v>
          </cell>
          <cell r="L20">
            <v>44364</v>
          </cell>
          <cell r="M20">
            <v>44364</v>
          </cell>
          <cell r="N20">
            <v>44364</v>
          </cell>
          <cell r="O20">
            <v>44364</v>
          </cell>
        </row>
        <row r="21">
          <cell r="A21" t="str">
            <v>A1020.3</v>
          </cell>
          <cell r="C21" t="str">
            <v>MD2 Weighbridge System Package (Rev 0a) Review (1st Round)</v>
          </cell>
          <cell r="D21" t="str">
            <v>7</v>
          </cell>
          <cell r="F21" t="str">
            <v>100%</v>
          </cell>
          <cell r="G21" t="str">
            <v>100%</v>
          </cell>
          <cell r="H21" t="str">
            <v>18 Jun 2021</v>
          </cell>
          <cell r="I21" t="str">
            <v>25 Jun 2021</v>
          </cell>
          <cell r="J21">
            <v>44365</v>
          </cell>
          <cell r="K21">
            <v>44372</v>
          </cell>
          <cell r="L21">
            <v>44365</v>
          </cell>
          <cell r="M21">
            <v>44372</v>
          </cell>
          <cell r="N21">
            <v>44365</v>
          </cell>
          <cell r="O21">
            <v>44372</v>
          </cell>
        </row>
        <row r="22">
          <cell r="A22" t="str">
            <v>A1020.4</v>
          </cell>
          <cell r="C22" t="str">
            <v>MD2 Weighbridge System Package (Rev 0a) ALC Ammendment (1st Round)</v>
          </cell>
          <cell r="D22" t="str">
            <v>21.11</v>
          </cell>
          <cell r="F22" t="str">
            <v>100%</v>
          </cell>
          <cell r="G22" t="str">
            <v>100%</v>
          </cell>
          <cell r="H22" t="str">
            <v>26 Jun 2021</v>
          </cell>
          <cell r="I22" t="str">
            <v>21 Jul 2021</v>
          </cell>
          <cell r="J22">
            <v>44373</v>
          </cell>
          <cell r="K22">
            <v>44398</v>
          </cell>
          <cell r="L22">
            <v>44373</v>
          </cell>
          <cell r="M22">
            <v>44398</v>
          </cell>
          <cell r="N22">
            <v>44373</v>
          </cell>
          <cell r="O22">
            <v>44398</v>
          </cell>
        </row>
        <row r="23">
          <cell r="A23" t="str">
            <v>A1020.5</v>
          </cell>
          <cell r="C23" t="str">
            <v>MD2 Weighbridge System Package (Rev 0b) Review (2nd Round)</v>
          </cell>
          <cell r="D23" t="str">
            <v>3.11</v>
          </cell>
          <cell r="F23" t="str">
            <v>100%</v>
          </cell>
          <cell r="G23" t="str">
            <v>100%</v>
          </cell>
          <cell r="H23" t="str">
            <v>22 Jul 2021</v>
          </cell>
          <cell r="I23" t="str">
            <v>26 Jul 2021</v>
          </cell>
          <cell r="J23">
            <v>44399</v>
          </cell>
          <cell r="K23">
            <v>44403</v>
          </cell>
          <cell r="L23">
            <v>44399</v>
          </cell>
          <cell r="M23">
            <v>44403</v>
          </cell>
          <cell r="N23">
            <v>44399</v>
          </cell>
          <cell r="O23">
            <v>44403</v>
          </cell>
        </row>
        <row r="24">
          <cell r="A24" t="str">
            <v>A1020.6</v>
          </cell>
          <cell r="C24" t="str">
            <v>MD2 Weighbridge System Package (Rev 0b) ALC Ammendment (2nd Round)</v>
          </cell>
          <cell r="D24" t="str">
            <v>1.11</v>
          </cell>
          <cell r="F24" t="str">
            <v>100%</v>
          </cell>
          <cell r="G24" t="str">
            <v>100%</v>
          </cell>
          <cell r="H24" t="str">
            <v>28 Jul 2021</v>
          </cell>
          <cell r="I24" t="str">
            <v>29 Jul 2021</v>
          </cell>
          <cell r="J24">
            <v>44405</v>
          </cell>
          <cell r="K24">
            <v>44406</v>
          </cell>
          <cell r="L24">
            <v>44405</v>
          </cell>
          <cell r="M24">
            <v>44406</v>
          </cell>
          <cell r="N24">
            <v>44405</v>
          </cell>
          <cell r="O24">
            <v>44406</v>
          </cell>
        </row>
        <row r="25">
          <cell r="A25" t="str">
            <v>A1020.7</v>
          </cell>
          <cell r="C25" t="str">
            <v>MD2 Weighbridge System Package (Rev 0) Review by SO/ NEA</v>
          </cell>
          <cell r="D25" t="str">
            <v>8</v>
          </cell>
          <cell r="F25" t="str">
            <v>100%</v>
          </cell>
          <cell r="G25" t="str">
            <v>100%</v>
          </cell>
          <cell r="H25" t="str">
            <v>30 Jul 2021</v>
          </cell>
          <cell r="I25" t="str">
            <v>08 Aug 2021</v>
          </cell>
          <cell r="J25">
            <v>44407</v>
          </cell>
          <cell r="K25">
            <v>44416</v>
          </cell>
          <cell r="L25">
            <v>44407</v>
          </cell>
          <cell r="M25">
            <v>44416</v>
          </cell>
          <cell r="N25">
            <v>44407</v>
          </cell>
          <cell r="O25">
            <v>44416</v>
          </cell>
        </row>
        <row r="26">
          <cell r="A26" t="str">
            <v>A1020.1</v>
          </cell>
          <cell r="C26" t="str">
            <v>ED1 AD2 Weighbridge System Package (Rev 0a) Preparation by ALC</v>
          </cell>
          <cell r="D26" t="str">
            <v>63.89</v>
          </cell>
          <cell r="F26" t="str">
            <v>100%</v>
          </cell>
          <cell r="G26" t="str">
            <v>100%</v>
          </cell>
          <cell r="H26" t="str">
            <v>07 Apr 2021</v>
          </cell>
          <cell r="I26" t="str">
            <v>24 Jun 2021</v>
          </cell>
          <cell r="J26">
            <v>44293</v>
          </cell>
          <cell r="K26">
            <v>44371</v>
          </cell>
          <cell r="L26">
            <v>44293</v>
          </cell>
          <cell r="M26">
            <v>44371</v>
          </cell>
          <cell r="N26">
            <v>44293</v>
          </cell>
          <cell r="O26">
            <v>44371</v>
          </cell>
        </row>
        <row r="27">
          <cell r="A27" t="str">
            <v>A1020.2</v>
          </cell>
          <cell r="C27" t="str">
            <v>ED1 AD2 Weighbridge System Package (Rev 0a) Submission to KSPL</v>
          </cell>
          <cell r="D27" t="str">
            <v>1</v>
          </cell>
          <cell r="F27" t="str">
            <v>100%</v>
          </cell>
          <cell r="G27" t="str">
            <v>100%</v>
          </cell>
          <cell r="H27" t="str">
            <v>25 Jun 2021</v>
          </cell>
          <cell r="I27" t="str">
            <v>25 Jun 2021</v>
          </cell>
          <cell r="J27">
            <v>44372</v>
          </cell>
          <cell r="K27">
            <v>44372</v>
          </cell>
          <cell r="L27">
            <v>44372</v>
          </cell>
          <cell r="M27">
            <v>44372</v>
          </cell>
          <cell r="N27">
            <v>44372</v>
          </cell>
          <cell r="O27">
            <v>44372</v>
          </cell>
        </row>
        <row r="28">
          <cell r="A28" t="str">
            <v>A1020.3</v>
          </cell>
          <cell r="C28" t="str">
            <v>ED1 AD2 Weighbridge System Package (Rev 0a) Review (1st Round)</v>
          </cell>
          <cell r="D28" t="str">
            <v>6.11</v>
          </cell>
          <cell r="F28" t="str">
            <v>100%</v>
          </cell>
          <cell r="G28" t="str">
            <v>100%</v>
          </cell>
          <cell r="H28" t="str">
            <v>25 Jun 2021</v>
          </cell>
          <cell r="I28" t="str">
            <v>02 Jul 2021</v>
          </cell>
          <cell r="J28">
            <v>44372</v>
          </cell>
          <cell r="K28">
            <v>44379</v>
          </cell>
          <cell r="L28">
            <v>44372</v>
          </cell>
          <cell r="M28">
            <v>44379</v>
          </cell>
          <cell r="N28">
            <v>44372</v>
          </cell>
          <cell r="O28">
            <v>44379</v>
          </cell>
        </row>
        <row r="29">
          <cell r="A29" t="str">
            <v>A1020.4</v>
          </cell>
          <cell r="C29" t="str">
            <v>ED1 AD2 Weighbridge System Package (Rev 0a) ALC Ammendment (1st Round)</v>
          </cell>
          <cell r="D29" t="str">
            <v>11.89</v>
          </cell>
          <cell r="F29" t="str">
            <v>100%</v>
          </cell>
          <cell r="G29" t="str">
            <v>100%</v>
          </cell>
          <cell r="H29" t="str">
            <v>03 Jul 2021</v>
          </cell>
          <cell r="I29" t="str">
            <v>16 Jul 2021</v>
          </cell>
          <cell r="J29">
            <v>44380</v>
          </cell>
          <cell r="K29">
            <v>44393</v>
          </cell>
          <cell r="L29">
            <v>44380</v>
          </cell>
          <cell r="M29">
            <v>44393</v>
          </cell>
          <cell r="N29">
            <v>44380</v>
          </cell>
          <cell r="O29">
            <v>44393</v>
          </cell>
        </row>
        <row r="30">
          <cell r="A30" t="str">
            <v>A1020.5</v>
          </cell>
          <cell r="C30" t="str">
            <v>ED1 AD2 Weighbridge System Package (Rev 0b) Review (2nd Round)</v>
          </cell>
          <cell r="D30" t="str">
            <v>8</v>
          </cell>
          <cell r="F30" t="str">
            <v>100%</v>
          </cell>
          <cell r="G30" t="str">
            <v>100%</v>
          </cell>
          <cell r="H30" t="str">
            <v>17 Jul 2021</v>
          </cell>
          <cell r="I30" t="str">
            <v>26 Jul 2021</v>
          </cell>
          <cell r="J30">
            <v>44394</v>
          </cell>
          <cell r="K30">
            <v>44403</v>
          </cell>
          <cell r="L30">
            <v>44394</v>
          </cell>
          <cell r="M30">
            <v>44403</v>
          </cell>
          <cell r="N30">
            <v>44394</v>
          </cell>
          <cell r="O30">
            <v>44403</v>
          </cell>
        </row>
        <row r="31">
          <cell r="A31" t="str">
            <v>A1020.6</v>
          </cell>
          <cell r="C31" t="str">
            <v>ED1 AD2 Weighbridge System Package (Rev 0b) ALC Ammendment (2nd Round)</v>
          </cell>
          <cell r="D31" t="str">
            <v>4</v>
          </cell>
          <cell r="F31" t="str">
            <v>100%</v>
          </cell>
          <cell r="G31" t="str">
            <v>100%</v>
          </cell>
          <cell r="H31" t="str">
            <v>27 Jul 2021</v>
          </cell>
          <cell r="I31" t="str">
            <v>30 Jul 2021</v>
          </cell>
          <cell r="J31">
            <v>44404</v>
          </cell>
          <cell r="K31">
            <v>44407</v>
          </cell>
          <cell r="L31">
            <v>44404</v>
          </cell>
          <cell r="M31">
            <v>44407</v>
          </cell>
          <cell r="N31">
            <v>44404</v>
          </cell>
          <cell r="O31">
            <v>44407</v>
          </cell>
        </row>
        <row r="32">
          <cell r="A32" t="str">
            <v>A1020.7</v>
          </cell>
          <cell r="C32" t="str">
            <v>ED1 AD2 Weighbridge System Package (Rev 0) Review by SO/ NEA</v>
          </cell>
          <cell r="D32" t="str">
            <v>20</v>
          </cell>
          <cell r="F32" t="str">
            <v>100%</v>
          </cell>
          <cell r="G32" t="str">
            <v>100%</v>
          </cell>
          <cell r="H32" t="str">
            <v>04 Aug 2021</v>
          </cell>
          <cell r="I32" t="str">
            <v>27 Aug 2021</v>
          </cell>
          <cell r="J32">
            <v>44412</v>
          </cell>
          <cell r="K32">
            <v>44435</v>
          </cell>
          <cell r="L32">
            <v>44412</v>
          </cell>
          <cell r="M32">
            <v>44435</v>
          </cell>
          <cell r="N32">
            <v>44412</v>
          </cell>
          <cell r="O32">
            <v>44435</v>
          </cell>
        </row>
        <row r="33">
          <cell r="A33" t="str">
            <v>A1020.8</v>
          </cell>
          <cell r="C33" t="str">
            <v>MD2 Weighbridge System Package (Rev 1a) Ammendment by ALC on SO Comments and Re-submission to KSPL</v>
          </cell>
          <cell r="D33" t="str">
            <v>29</v>
          </cell>
          <cell r="F33" t="str">
            <v>100%</v>
          </cell>
          <cell r="G33" t="str">
            <v>100%</v>
          </cell>
          <cell r="H33" t="str">
            <v>28 Aug 2021</v>
          </cell>
          <cell r="I33" t="str">
            <v>30 Sep 2021</v>
          </cell>
          <cell r="J33">
            <v>44436</v>
          </cell>
          <cell r="K33">
            <v>44469</v>
          </cell>
          <cell r="L33">
            <v>44436</v>
          </cell>
          <cell r="M33">
            <v>44469</v>
          </cell>
          <cell r="N33">
            <v>44436</v>
          </cell>
          <cell r="O33">
            <v>44469</v>
          </cell>
        </row>
        <row r="34">
          <cell r="A34" t="str">
            <v>A1020.9</v>
          </cell>
          <cell r="C34" t="str">
            <v>MD2 Weighbridge System Package (Rev 1a) Review (1st Round)</v>
          </cell>
          <cell r="D34" t="str">
            <v>12</v>
          </cell>
          <cell r="F34" t="str">
            <v>100%</v>
          </cell>
          <cell r="G34" t="str">
            <v>100%</v>
          </cell>
          <cell r="H34" t="str">
            <v>22 Sep 2021</v>
          </cell>
          <cell r="I34" t="str">
            <v>05 Oct 2021</v>
          </cell>
          <cell r="J34">
            <v>44461</v>
          </cell>
          <cell r="K34">
            <v>44474</v>
          </cell>
          <cell r="L34">
            <v>44461</v>
          </cell>
          <cell r="M34">
            <v>44474</v>
          </cell>
          <cell r="N34">
            <v>44461</v>
          </cell>
          <cell r="O34">
            <v>44474</v>
          </cell>
        </row>
        <row r="35">
          <cell r="A35" t="str">
            <v>A1020.10</v>
          </cell>
          <cell r="C35" t="str">
            <v>MD2 Weighbridge System Package (Rev 1a) ALC Ammendment (1st Round)</v>
          </cell>
          <cell r="D35" t="str">
            <v>9</v>
          </cell>
          <cell r="F35" t="str">
            <v>100%</v>
          </cell>
          <cell r="G35" t="str">
            <v>100%</v>
          </cell>
          <cell r="H35" t="str">
            <v>06 Oct 2021</v>
          </cell>
          <cell r="I35" t="str">
            <v>15 Oct 2021</v>
          </cell>
          <cell r="J35">
            <v>44475</v>
          </cell>
          <cell r="K35">
            <v>44484</v>
          </cell>
          <cell r="L35">
            <v>44475</v>
          </cell>
          <cell r="M35">
            <v>44484</v>
          </cell>
          <cell r="N35">
            <v>44475</v>
          </cell>
          <cell r="O35">
            <v>44484</v>
          </cell>
        </row>
        <row r="36">
          <cell r="A36" t="str">
            <v>A1020.11</v>
          </cell>
          <cell r="C36" t="str">
            <v>MD2 Weighbridge System Package (Rev 1b) Review (2nd Round)</v>
          </cell>
          <cell r="D36" t="str">
            <v>4</v>
          </cell>
          <cell r="F36" t="str">
            <v>100%</v>
          </cell>
          <cell r="G36" t="str">
            <v>100%</v>
          </cell>
          <cell r="H36" t="str">
            <v>16 Oct 2021</v>
          </cell>
          <cell r="I36" t="str">
            <v>20 Oct 2021</v>
          </cell>
          <cell r="J36">
            <v>44485</v>
          </cell>
          <cell r="K36">
            <v>44489</v>
          </cell>
          <cell r="L36">
            <v>44485</v>
          </cell>
          <cell r="M36">
            <v>44489</v>
          </cell>
          <cell r="N36">
            <v>44485</v>
          </cell>
          <cell r="O36">
            <v>44489</v>
          </cell>
        </row>
        <row r="37">
          <cell r="A37" t="str">
            <v>A1020.12</v>
          </cell>
          <cell r="C37" t="str">
            <v>MD2 Weighbridge System Package (Rev 1b) ALC Ammendment (2nd Round)</v>
          </cell>
          <cell r="D37" t="str">
            <v>4</v>
          </cell>
          <cell r="F37" t="str">
            <v>100%</v>
          </cell>
          <cell r="G37" t="str">
            <v>100%</v>
          </cell>
          <cell r="H37" t="str">
            <v>21 Oct 2021</v>
          </cell>
          <cell r="I37" t="str">
            <v>25 Oct 2021</v>
          </cell>
          <cell r="J37">
            <v>44490</v>
          </cell>
          <cell r="K37">
            <v>44494</v>
          </cell>
          <cell r="L37">
            <v>44490</v>
          </cell>
          <cell r="M37">
            <v>44494</v>
          </cell>
          <cell r="N37">
            <v>44490</v>
          </cell>
          <cell r="O37">
            <v>44494</v>
          </cell>
        </row>
        <row r="38">
          <cell r="A38" t="str">
            <v>A1020.13</v>
          </cell>
          <cell r="C38" t="str">
            <v>MD2 Weighbridge System Package (Rev 1) Review by SO/ NEA(Accepted with comments , Re-submission Required)</v>
          </cell>
          <cell r="D38" t="str">
            <v>70</v>
          </cell>
          <cell r="F38" t="str">
            <v>100%</v>
          </cell>
          <cell r="G38" t="str">
            <v>100%</v>
          </cell>
          <cell r="H38" t="str">
            <v>29 Oct 2021</v>
          </cell>
          <cell r="I38" t="str">
            <v>21 Jan 2022</v>
          </cell>
          <cell r="J38">
            <v>44498</v>
          </cell>
          <cell r="K38">
            <v>44582</v>
          </cell>
          <cell r="L38">
            <v>44498</v>
          </cell>
          <cell r="M38">
            <v>44582</v>
          </cell>
          <cell r="N38">
            <v>44498</v>
          </cell>
          <cell r="O38">
            <v>44582</v>
          </cell>
        </row>
        <row r="39">
          <cell r="A39" t="str">
            <v>A1020.14</v>
          </cell>
          <cell r="C39" t="str">
            <v>MD2 Weighbridge System Package (Rev XX) Review by SO/ NEA(Accepted with comments , No Re-submission Required)</v>
          </cell>
          <cell r="D39" t="str">
            <v>0</v>
          </cell>
          <cell r="F39" t="str">
            <v>100%</v>
          </cell>
          <cell r="G39" t="str">
            <v>100%</v>
          </cell>
          <cell r="H39" t="str">
            <v>24 Jan 2022</v>
          </cell>
          <cell r="I39" t="str">
            <v>30 Jan 2023</v>
          </cell>
          <cell r="J39">
            <v>44585</v>
          </cell>
          <cell r="K39">
            <v>45181</v>
          </cell>
          <cell r="L39">
            <v>44585</v>
          </cell>
          <cell r="M39">
            <v>44956</v>
          </cell>
          <cell r="N39">
            <v>44585</v>
          </cell>
          <cell r="O39">
            <v>45181</v>
          </cell>
        </row>
        <row r="40">
          <cell r="A40" t="str">
            <v>A1020.8</v>
          </cell>
          <cell r="C40" t="str">
            <v>ED1 AD2 Weighbridge System Package (Rev 1a) Ammendment by ALC on SO Comments and Re-submission to KSPL</v>
          </cell>
          <cell r="D40" t="str">
            <v>29</v>
          </cell>
          <cell r="F40" t="str">
            <v>100%</v>
          </cell>
          <cell r="G40" t="str">
            <v>100%</v>
          </cell>
          <cell r="H40" t="str">
            <v>28 Aug 2021</v>
          </cell>
          <cell r="I40" t="str">
            <v>30 Sep 2021</v>
          </cell>
          <cell r="J40">
            <v>44436</v>
          </cell>
          <cell r="K40">
            <v>44469</v>
          </cell>
          <cell r="L40">
            <v>44436</v>
          </cell>
          <cell r="M40">
            <v>44469</v>
          </cell>
          <cell r="N40">
            <v>44436</v>
          </cell>
          <cell r="O40">
            <v>44469</v>
          </cell>
        </row>
        <row r="41">
          <cell r="A41" t="str">
            <v>A1020.9</v>
          </cell>
          <cell r="C41" t="str">
            <v>ED1 AD2 Weighbridge System Package (Rev 1a) Review (1st Round)</v>
          </cell>
          <cell r="D41" t="str">
            <v>11.11</v>
          </cell>
          <cell r="F41" t="str">
            <v>100%</v>
          </cell>
          <cell r="G41" t="str">
            <v>100%</v>
          </cell>
          <cell r="H41" t="str">
            <v>30 Sep 2021</v>
          </cell>
          <cell r="I41" t="str">
            <v>14 Oct 2021</v>
          </cell>
          <cell r="J41">
            <v>44469</v>
          </cell>
          <cell r="K41">
            <v>44483</v>
          </cell>
          <cell r="L41">
            <v>44469</v>
          </cell>
          <cell r="M41">
            <v>44483</v>
          </cell>
          <cell r="N41">
            <v>44469</v>
          </cell>
          <cell r="O41">
            <v>44483</v>
          </cell>
        </row>
        <row r="42">
          <cell r="A42" t="str">
            <v>A1020.10</v>
          </cell>
          <cell r="C42" t="str">
            <v>ED1 AD2 Weighbridge System Package (Rev 1a) ALC Ammendment (1st Round)</v>
          </cell>
          <cell r="D42" t="str">
            <v>10</v>
          </cell>
          <cell r="F42" t="str">
            <v>100%</v>
          </cell>
          <cell r="G42" t="str">
            <v>100%</v>
          </cell>
          <cell r="H42" t="str">
            <v>14 Oct 2021</v>
          </cell>
          <cell r="I42" t="str">
            <v>26 Oct 2021</v>
          </cell>
          <cell r="J42">
            <v>44483</v>
          </cell>
          <cell r="K42">
            <v>44495</v>
          </cell>
          <cell r="L42">
            <v>44483</v>
          </cell>
          <cell r="M42">
            <v>44495</v>
          </cell>
          <cell r="N42">
            <v>44483</v>
          </cell>
          <cell r="O42">
            <v>44495</v>
          </cell>
        </row>
        <row r="43">
          <cell r="A43" t="str">
            <v>A1020.11</v>
          </cell>
          <cell r="C43" t="str">
            <v>ED1 AD2 Weighbridge System Package (Rev 1b) Review (2nd Round)</v>
          </cell>
          <cell r="D43" t="str">
            <v>1.11</v>
          </cell>
          <cell r="F43" t="str">
            <v>100%</v>
          </cell>
          <cell r="G43" t="str">
            <v>100%</v>
          </cell>
          <cell r="H43" t="str">
            <v>26 Oct 2021</v>
          </cell>
          <cell r="I43" t="str">
            <v>28 Oct 2021</v>
          </cell>
          <cell r="J43">
            <v>44495</v>
          </cell>
          <cell r="K43">
            <v>44497</v>
          </cell>
          <cell r="L43">
            <v>44495</v>
          </cell>
          <cell r="M43">
            <v>44497</v>
          </cell>
          <cell r="N43">
            <v>44495</v>
          </cell>
          <cell r="O43">
            <v>44497</v>
          </cell>
        </row>
        <row r="44">
          <cell r="A44" t="str">
            <v>A1020.12</v>
          </cell>
          <cell r="C44" t="str">
            <v>ED1 AD2 Weighbridge System Package (Rev 1b) ALC Ammendment (2nd Round)</v>
          </cell>
          <cell r="D44" t="str">
            <v>1</v>
          </cell>
          <cell r="F44" t="str">
            <v>100%</v>
          </cell>
          <cell r="G44" t="str">
            <v>100%</v>
          </cell>
          <cell r="H44" t="str">
            <v>28 Oct 2021</v>
          </cell>
          <cell r="I44" t="str">
            <v>29 Oct 2021</v>
          </cell>
          <cell r="J44">
            <v>44497</v>
          </cell>
          <cell r="K44">
            <v>44498</v>
          </cell>
          <cell r="L44">
            <v>44497</v>
          </cell>
          <cell r="M44">
            <v>44498</v>
          </cell>
          <cell r="N44">
            <v>44497</v>
          </cell>
          <cell r="O44">
            <v>44498</v>
          </cell>
        </row>
        <row r="45">
          <cell r="A45" t="str">
            <v>A1020.13</v>
          </cell>
          <cell r="C45" t="str">
            <v>ED1 AD2 Weighbridge System Package (Rev 1) Review by SO/ NEA</v>
          </cell>
          <cell r="D45" t="str">
            <v>8</v>
          </cell>
          <cell r="F45" t="str">
            <v>100%</v>
          </cell>
          <cell r="G45" t="str">
            <v>100%</v>
          </cell>
          <cell r="H45" t="str">
            <v>29 Oct 2021</v>
          </cell>
          <cell r="I45" t="str">
            <v>08 Nov 2021</v>
          </cell>
          <cell r="J45">
            <v>44498</v>
          </cell>
          <cell r="K45">
            <v>44508</v>
          </cell>
          <cell r="L45">
            <v>44498</v>
          </cell>
          <cell r="M45">
            <v>44508</v>
          </cell>
          <cell r="N45">
            <v>44498</v>
          </cell>
          <cell r="O45">
            <v>44508</v>
          </cell>
        </row>
        <row r="46">
          <cell r="A46" t="str">
            <v>A1020.14</v>
          </cell>
          <cell r="C46" t="str">
            <v>AD2 Weighbridge System Package (Rev 1) Review by SO/ NEA(Accepted with comments , Re-submission Required)</v>
          </cell>
          <cell r="D46" t="str">
            <v>71</v>
          </cell>
          <cell r="F46" t="str">
            <v>100%</v>
          </cell>
          <cell r="G46" t="str">
            <v>100%</v>
          </cell>
          <cell r="H46" t="str">
            <v>29 Oct 2021</v>
          </cell>
          <cell r="I46" t="str">
            <v>22 Jan 2022</v>
          </cell>
          <cell r="J46">
            <v>44498</v>
          </cell>
          <cell r="K46">
            <v>44583</v>
          </cell>
          <cell r="L46">
            <v>44498</v>
          </cell>
          <cell r="M46">
            <v>44583</v>
          </cell>
          <cell r="N46">
            <v>44498</v>
          </cell>
          <cell r="O46">
            <v>44583</v>
          </cell>
        </row>
        <row r="47">
          <cell r="A47" t="str">
            <v>A1020.15</v>
          </cell>
          <cell r="C47" t="str">
            <v>AD2 Weighbridge System Package (Rev XX) Review by SO/ NEA(Accepted with comments , Re-submission Required)</v>
          </cell>
          <cell r="D47" t="str">
            <v>0</v>
          </cell>
          <cell r="F47" t="str">
            <v>100%</v>
          </cell>
          <cell r="G47" t="str">
            <v>100%</v>
          </cell>
          <cell r="H47" t="str">
            <v>24 Jan 2022</v>
          </cell>
          <cell r="I47" t="str">
            <v>08 Jul 2023</v>
          </cell>
          <cell r="J47">
            <v>44585</v>
          </cell>
          <cell r="K47">
            <v>45201</v>
          </cell>
          <cell r="L47">
            <v>44585</v>
          </cell>
          <cell r="M47">
            <v>45115</v>
          </cell>
          <cell r="N47">
            <v>44585</v>
          </cell>
          <cell r="O47">
            <v>45201</v>
          </cell>
        </row>
        <row r="48">
          <cell r="A48" t="str">
            <v>A1030</v>
          </cell>
          <cell r="C48" t="str">
            <v>MD3 ED2 ED3 AD3 Preparation, Submission, Review &amp; Acceptance</v>
          </cell>
          <cell r="D48" t="str">
            <v>1068.53</v>
          </cell>
          <cell r="F48" t="str">
            <v>100%</v>
          </cell>
          <cell r="G48" t="str">
            <v>100%</v>
          </cell>
          <cell r="H48" t="str">
            <v>18 Jun 2021</v>
          </cell>
          <cell r="I48" t="str">
            <v>22 Jul 2023</v>
          </cell>
          <cell r="J48">
            <v>44365</v>
          </cell>
          <cell r="K48">
            <v>45646</v>
          </cell>
          <cell r="L48">
            <v>44365</v>
          </cell>
          <cell r="M48">
            <v>45129</v>
          </cell>
          <cell r="N48">
            <v>44365</v>
          </cell>
          <cell r="O48">
            <v>45646</v>
          </cell>
        </row>
        <row r="49">
          <cell r="A49" t="str">
            <v>A1030.1</v>
          </cell>
          <cell r="C49" t="str">
            <v>MD3 Preparation, Submission, Review &amp; Acceptance</v>
          </cell>
          <cell r="D49" t="str">
            <v>512</v>
          </cell>
          <cell r="F49" t="str">
            <v>100%</v>
          </cell>
          <cell r="G49" t="str">
            <v>100%</v>
          </cell>
          <cell r="H49" t="str">
            <v>25 Jun 2022</v>
          </cell>
          <cell r="I49" t="str">
            <v>25 Nov 2022</v>
          </cell>
          <cell r="J49">
            <v>44737</v>
          </cell>
          <cell r="K49">
            <v>45353</v>
          </cell>
          <cell r="L49">
            <v>44737</v>
          </cell>
          <cell r="M49">
            <v>44890</v>
          </cell>
          <cell r="N49">
            <v>44737</v>
          </cell>
          <cell r="O49">
            <v>45353</v>
          </cell>
        </row>
        <row r="50">
          <cell r="A50" t="str">
            <v>A1030.1</v>
          </cell>
          <cell r="C50" t="str">
            <v>MD3 Weighbridge System Package (Rev 0a) Preparation by ALC</v>
          </cell>
          <cell r="D50" t="str">
            <v>10</v>
          </cell>
          <cell r="F50" t="str">
            <v>100%</v>
          </cell>
          <cell r="G50" t="str">
            <v>100%</v>
          </cell>
          <cell r="H50" t="str">
            <v>25 Jun 2022</v>
          </cell>
          <cell r="I50" t="str">
            <v>06 Jul 2022</v>
          </cell>
          <cell r="J50">
            <v>44737</v>
          </cell>
          <cell r="K50">
            <v>44748</v>
          </cell>
          <cell r="L50">
            <v>44737</v>
          </cell>
          <cell r="M50">
            <v>44748</v>
          </cell>
          <cell r="N50">
            <v>44737</v>
          </cell>
          <cell r="O50">
            <v>44748</v>
          </cell>
        </row>
        <row r="51">
          <cell r="A51" t="str">
            <v>A1030.2</v>
          </cell>
          <cell r="C51" t="str">
            <v>MD3 Weighbridge System Package (Rev 0a) Submission to KSPL</v>
          </cell>
          <cell r="D51" t="str">
            <v>3</v>
          </cell>
          <cell r="F51" t="str">
            <v>100%</v>
          </cell>
          <cell r="G51" t="str">
            <v>100%</v>
          </cell>
          <cell r="H51" t="str">
            <v>07 Jul 2022</v>
          </cell>
          <cell r="I51" t="str">
            <v>09 Jul 2022</v>
          </cell>
          <cell r="J51">
            <v>44749</v>
          </cell>
          <cell r="K51">
            <v>44751</v>
          </cell>
          <cell r="L51">
            <v>44749</v>
          </cell>
          <cell r="M51">
            <v>44751</v>
          </cell>
          <cell r="N51">
            <v>44749</v>
          </cell>
          <cell r="O51">
            <v>44751</v>
          </cell>
        </row>
        <row r="52">
          <cell r="A52" t="str">
            <v>A1030.3</v>
          </cell>
          <cell r="C52" t="str">
            <v>MD3 Weighbridge System Package (Rev 0a) Review (1st Round)</v>
          </cell>
          <cell r="D52" t="str">
            <v>11</v>
          </cell>
          <cell r="F52" t="str">
            <v>100%</v>
          </cell>
          <cell r="G52" t="str">
            <v>100%</v>
          </cell>
          <cell r="H52" t="str">
            <v>12 Jul 2022</v>
          </cell>
          <cell r="I52" t="str">
            <v>23 Jul 2022</v>
          </cell>
          <cell r="J52">
            <v>44754</v>
          </cell>
          <cell r="K52">
            <v>44765</v>
          </cell>
          <cell r="L52">
            <v>44754</v>
          </cell>
          <cell r="M52">
            <v>44765</v>
          </cell>
          <cell r="N52">
            <v>44754</v>
          </cell>
          <cell r="O52">
            <v>44765</v>
          </cell>
        </row>
        <row r="53">
          <cell r="A53" t="str">
            <v>A1030.4</v>
          </cell>
          <cell r="C53" t="str">
            <v>MD3 Weighbridge System Package (Rev 0a) ALC Ammendment (1st Round)</v>
          </cell>
          <cell r="D53" t="str">
            <v>3</v>
          </cell>
          <cell r="F53" t="str">
            <v>100%</v>
          </cell>
          <cell r="G53" t="str">
            <v>100%</v>
          </cell>
          <cell r="H53" t="str">
            <v>25 Jul 2022</v>
          </cell>
          <cell r="I53" t="str">
            <v>27 Jul 2022</v>
          </cell>
          <cell r="J53">
            <v>44767</v>
          </cell>
          <cell r="K53">
            <v>44769</v>
          </cell>
          <cell r="L53">
            <v>44767</v>
          </cell>
          <cell r="M53">
            <v>44769</v>
          </cell>
          <cell r="N53">
            <v>44767</v>
          </cell>
          <cell r="O53">
            <v>44769</v>
          </cell>
        </row>
        <row r="54">
          <cell r="A54" t="str">
            <v>A1030.5</v>
          </cell>
          <cell r="C54" t="str">
            <v>MD3 Weighbridge System Package (Rev 0b) Review (2nd Round)</v>
          </cell>
          <cell r="D54" t="str">
            <v>8</v>
          </cell>
          <cell r="F54" t="str">
            <v>100%</v>
          </cell>
          <cell r="G54" t="str">
            <v>100%</v>
          </cell>
          <cell r="H54" t="str">
            <v>28 Jul 2022</v>
          </cell>
          <cell r="I54" t="str">
            <v>05 Aug 2022</v>
          </cell>
          <cell r="J54">
            <v>44770</v>
          </cell>
          <cell r="K54">
            <v>44778</v>
          </cell>
          <cell r="L54">
            <v>44770</v>
          </cell>
          <cell r="M54">
            <v>44778</v>
          </cell>
          <cell r="N54">
            <v>44770</v>
          </cell>
          <cell r="O54">
            <v>44778</v>
          </cell>
        </row>
        <row r="55">
          <cell r="A55" t="str">
            <v>A1030.6</v>
          </cell>
          <cell r="C55" t="str">
            <v>MD3 Weighbridge System Package (Rev 0b) ALC Ammendment (2nd Round)</v>
          </cell>
          <cell r="D55" t="str">
            <v>5</v>
          </cell>
          <cell r="F55" t="str">
            <v>100%</v>
          </cell>
          <cell r="G55" t="str">
            <v>100%</v>
          </cell>
          <cell r="H55" t="str">
            <v>06 Aug 2022</v>
          </cell>
          <cell r="I55" t="str">
            <v>12 Aug 2022</v>
          </cell>
          <cell r="J55">
            <v>44779</v>
          </cell>
          <cell r="K55">
            <v>44785</v>
          </cell>
          <cell r="L55">
            <v>44779</v>
          </cell>
          <cell r="M55">
            <v>44785</v>
          </cell>
          <cell r="N55">
            <v>44779</v>
          </cell>
          <cell r="O55">
            <v>44785</v>
          </cell>
        </row>
        <row r="56">
          <cell r="A56" t="str">
            <v>A1030.7</v>
          </cell>
          <cell r="C56" t="str">
            <v>MD3 Weighbridge System Package (Rev 0) Review by SO/ NEA</v>
          </cell>
          <cell r="D56" t="str">
            <v>66</v>
          </cell>
          <cell r="F56" t="str">
            <v>100%</v>
          </cell>
          <cell r="G56" t="str">
            <v>100%</v>
          </cell>
          <cell r="H56" t="str">
            <v>13 Aug 2022</v>
          </cell>
          <cell r="I56" t="str">
            <v>01 Sep 2022</v>
          </cell>
          <cell r="J56">
            <v>45104</v>
          </cell>
          <cell r="K56">
            <v>45182</v>
          </cell>
          <cell r="L56">
            <v>44786</v>
          </cell>
          <cell r="M56">
            <v>44805</v>
          </cell>
          <cell r="N56">
            <v>45104</v>
          </cell>
          <cell r="O56">
            <v>45182</v>
          </cell>
        </row>
        <row r="57">
          <cell r="A57" t="str">
            <v>A1030.8</v>
          </cell>
          <cell r="C57" t="str">
            <v>MD3 Weighbridge System Package (Rev 1a) Ammendment by ALC on SO comments and Re-submission to KSPL</v>
          </cell>
          <cell r="D57" t="str">
            <v>17.35</v>
          </cell>
          <cell r="F57" t="str">
            <v>100%</v>
          </cell>
          <cell r="G57" t="str">
            <v>100%</v>
          </cell>
          <cell r="H57" t="str">
            <v>02 Sep 2022</v>
          </cell>
          <cell r="I57" t="str">
            <v>09 Sep 2022</v>
          </cell>
          <cell r="J57">
            <v>45182</v>
          </cell>
          <cell r="K57">
            <v>45219</v>
          </cell>
          <cell r="L57">
            <v>44806</v>
          </cell>
          <cell r="M57">
            <v>44813</v>
          </cell>
          <cell r="N57">
            <v>45182</v>
          </cell>
          <cell r="O57">
            <v>45219</v>
          </cell>
        </row>
        <row r="58">
          <cell r="A58" t="str">
            <v>A1030.9</v>
          </cell>
          <cell r="C58" t="str">
            <v>MD3 Weighbridge System Package (Rev 1a) Review (1st Round)</v>
          </cell>
          <cell r="D58" t="str">
            <v>1</v>
          </cell>
          <cell r="F58" t="str">
            <v>100%</v>
          </cell>
          <cell r="G58" t="str">
            <v>100%</v>
          </cell>
          <cell r="H58" t="str">
            <v>10 Sep 2022</v>
          </cell>
          <cell r="I58" t="str">
            <v>16 Sep 2022</v>
          </cell>
          <cell r="J58">
            <v>45220</v>
          </cell>
          <cell r="K58">
            <v>45220</v>
          </cell>
          <cell r="L58">
            <v>44814</v>
          </cell>
          <cell r="M58">
            <v>44820</v>
          </cell>
          <cell r="N58">
            <v>45220</v>
          </cell>
          <cell r="O58">
            <v>45220</v>
          </cell>
        </row>
        <row r="59">
          <cell r="A59" t="str">
            <v>A1030.10</v>
          </cell>
          <cell r="C59" t="str">
            <v>MD3 Weighbridge System Package (Rev 1a) ALC Ammendment (1st Round)</v>
          </cell>
          <cell r="D59" t="str">
            <v>1</v>
          </cell>
          <cell r="F59" t="str">
            <v>100%</v>
          </cell>
          <cell r="G59" t="str">
            <v>100%</v>
          </cell>
          <cell r="H59" t="str">
            <v>17 Sep 2022</v>
          </cell>
          <cell r="I59" t="str">
            <v>21 Sep 2022</v>
          </cell>
          <cell r="J59">
            <v>45222</v>
          </cell>
          <cell r="K59">
            <v>45222</v>
          </cell>
          <cell r="L59">
            <v>44821</v>
          </cell>
          <cell r="M59">
            <v>44825</v>
          </cell>
          <cell r="N59">
            <v>45222</v>
          </cell>
          <cell r="O59">
            <v>45222</v>
          </cell>
        </row>
        <row r="60">
          <cell r="A60" t="str">
            <v>A1030.11</v>
          </cell>
          <cell r="C60" t="str">
            <v>MD3 Weighbridge System Package (Rev 1b) Review (2nd Round)</v>
          </cell>
          <cell r="D60" t="str">
            <v>1</v>
          </cell>
          <cell r="F60" t="str">
            <v>100%</v>
          </cell>
          <cell r="G60" t="str">
            <v>100%</v>
          </cell>
          <cell r="H60" t="str">
            <v>22 Sep 2022</v>
          </cell>
          <cell r="I60" t="str">
            <v>29 Sep 2022</v>
          </cell>
          <cell r="J60">
            <v>45223</v>
          </cell>
          <cell r="K60">
            <v>45223</v>
          </cell>
          <cell r="L60">
            <v>44826</v>
          </cell>
          <cell r="M60">
            <v>44833</v>
          </cell>
          <cell r="N60">
            <v>45223</v>
          </cell>
          <cell r="O60">
            <v>45223</v>
          </cell>
        </row>
        <row r="61">
          <cell r="A61" t="str">
            <v>A1030.12</v>
          </cell>
          <cell r="C61" t="str">
            <v>MD3 Weighbridge System Package (Rev 1b) ALC Ammendment (2nd Round)</v>
          </cell>
          <cell r="D61" t="str">
            <v>1</v>
          </cell>
          <cell r="F61" t="str">
            <v>100%</v>
          </cell>
          <cell r="G61" t="str">
            <v>100%</v>
          </cell>
          <cell r="H61" t="str">
            <v>30 Sep 2022</v>
          </cell>
          <cell r="I61" t="str">
            <v>04 Oct 2022</v>
          </cell>
          <cell r="J61">
            <v>45224</v>
          </cell>
          <cell r="K61">
            <v>45224</v>
          </cell>
          <cell r="L61">
            <v>44834</v>
          </cell>
          <cell r="M61">
            <v>44838</v>
          </cell>
          <cell r="N61">
            <v>45224</v>
          </cell>
          <cell r="O61">
            <v>45224</v>
          </cell>
        </row>
        <row r="62">
          <cell r="A62" t="str">
            <v>A1030.13</v>
          </cell>
          <cell r="C62" t="str">
            <v>MD3 Weighbridge System Package (Rev 1) Review by SO/ NEA</v>
          </cell>
          <cell r="D62" t="str">
            <v>20.5</v>
          </cell>
          <cell r="F62" t="str">
            <v>100%</v>
          </cell>
          <cell r="G62" t="str">
            <v>100%</v>
          </cell>
          <cell r="H62" t="str">
            <v>05 Oct 2022</v>
          </cell>
          <cell r="I62" t="str">
            <v>25 Oct 2022</v>
          </cell>
          <cell r="J62">
            <v>45225</v>
          </cell>
          <cell r="K62">
            <v>45320</v>
          </cell>
          <cell r="L62">
            <v>44839</v>
          </cell>
          <cell r="M62">
            <v>44859</v>
          </cell>
          <cell r="N62">
            <v>45225</v>
          </cell>
          <cell r="O62">
            <v>45320</v>
          </cell>
        </row>
        <row r="63">
          <cell r="A63" t="str">
            <v>A1030.14</v>
          </cell>
          <cell r="C63" t="str">
            <v>MD3 Weighbridge System Package (Review 2 and above monitored accepted with comments, No Re-submission Required)</v>
          </cell>
          <cell r="D63" t="str">
            <v>27</v>
          </cell>
          <cell r="F63" t="str">
            <v>100%</v>
          </cell>
          <cell r="G63" t="str">
            <v>100%</v>
          </cell>
          <cell r="H63" t="str">
            <v>26 Oct 2022</v>
          </cell>
          <cell r="I63" t="str">
            <v>25 Nov 2022</v>
          </cell>
          <cell r="J63">
            <v>45321</v>
          </cell>
          <cell r="K63">
            <v>45353</v>
          </cell>
          <cell r="L63">
            <v>44860</v>
          </cell>
          <cell r="M63">
            <v>44890</v>
          </cell>
          <cell r="N63">
            <v>45321</v>
          </cell>
          <cell r="O63">
            <v>45353</v>
          </cell>
        </row>
        <row r="64">
          <cell r="A64" t="str">
            <v>A1030.2</v>
          </cell>
          <cell r="C64" t="str">
            <v>ED2 Preparation, Submission, Review &amp; Acceptance</v>
          </cell>
          <cell r="D64" t="str">
            <v>1068.53</v>
          </cell>
          <cell r="F64" t="str">
            <v>100%</v>
          </cell>
          <cell r="G64" t="str">
            <v>100%</v>
          </cell>
          <cell r="H64" t="str">
            <v>18 Jun 2021</v>
          </cell>
          <cell r="I64" t="str">
            <v>14 Jul 2023</v>
          </cell>
          <cell r="J64">
            <v>44365</v>
          </cell>
          <cell r="K64">
            <v>45646</v>
          </cell>
          <cell r="L64">
            <v>44365</v>
          </cell>
          <cell r="M64">
            <v>45121</v>
          </cell>
          <cell r="N64">
            <v>44365</v>
          </cell>
          <cell r="O64">
            <v>45646</v>
          </cell>
        </row>
        <row r="65">
          <cell r="A65" t="str">
            <v>A1030.2.1</v>
          </cell>
          <cell r="C65" t="str">
            <v>ED2 Weighbridge System Package (Rev 0a) Preparation by ALC</v>
          </cell>
          <cell r="D65" t="str">
            <v>67</v>
          </cell>
          <cell r="F65" t="str">
            <v>100%</v>
          </cell>
          <cell r="G65" t="str">
            <v>100%</v>
          </cell>
          <cell r="H65" t="str">
            <v>18 Jun 2021</v>
          </cell>
          <cell r="I65" t="str">
            <v>04 Sep 2021</v>
          </cell>
          <cell r="J65">
            <v>44365</v>
          </cell>
          <cell r="K65">
            <v>44443</v>
          </cell>
          <cell r="L65">
            <v>44365</v>
          </cell>
          <cell r="M65">
            <v>44443</v>
          </cell>
          <cell r="N65">
            <v>44365</v>
          </cell>
          <cell r="O65">
            <v>44443</v>
          </cell>
        </row>
        <row r="66">
          <cell r="A66" t="str">
            <v>A1030.2.2</v>
          </cell>
          <cell r="C66" t="str">
            <v>ED2 Weighbridge System Package (Rev 0a) Submission to KSPL</v>
          </cell>
          <cell r="D66" t="str">
            <v>2</v>
          </cell>
          <cell r="F66" t="str">
            <v>100%</v>
          </cell>
          <cell r="G66" t="str">
            <v>100%</v>
          </cell>
          <cell r="H66" t="str">
            <v>06 Sep 2021</v>
          </cell>
          <cell r="I66" t="str">
            <v>07 Sep 2021</v>
          </cell>
          <cell r="J66">
            <v>44445</v>
          </cell>
          <cell r="K66">
            <v>44446</v>
          </cell>
          <cell r="L66">
            <v>44445</v>
          </cell>
          <cell r="M66">
            <v>44446</v>
          </cell>
          <cell r="N66">
            <v>44445</v>
          </cell>
          <cell r="O66">
            <v>44446</v>
          </cell>
        </row>
        <row r="67">
          <cell r="A67" t="str">
            <v>A1030.2.3</v>
          </cell>
          <cell r="C67" t="str">
            <v>ED2 Weighbridge System Package (Rev 0a) Review (1st Round)</v>
          </cell>
          <cell r="D67" t="str">
            <v>12</v>
          </cell>
          <cell r="F67" t="str">
            <v>100%</v>
          </cell>
          <cell r="G67" t="str">
            <v>100%</v>
          </cell>
          <cell r="H67" t="str">
            <v>08 Sep 2021</v>
          </cell>
          <cell r="I67" t="str">
            <v>21 Sep 2021</v>
          </cell>
          <cell r="J67">
            <v>44447</v>
          </cell>
          <cell r="K67">
            <v>44460</v>
          </cell>
          <cell r="L67">
            <v>44447</v>
          </cell>
          <cell r="M67">
            <v>44460</v>
          </cell>
          <cell r="N67">
            <v>44447</v>
          </cell>
          <cell r="O67">
            <v>44460</v>
          </cell>
        </row>
        <row r="68">
          <cell r="A68" t="str">
            <v>A1030.2.4</v>
          </cell>
          <cell r="C68" t="str">
            <v>ED2 Weighbridge System Package (Rev 0a) ALC Ammendment (1st Round)</v>
          </cell>
          <cell r="D68" t="str">
            <v>8</v>
          </cell>
          <cell r="F68" t="str">
            <v>100%</v>
          </cell>
          <cell r="G68" t="str">
            <v>100%</v>
          </cell>
          <cell r="H68" t="str">
            <v>22 Sep 2021</v>
          </cell>
          <cell r="I68" t="str">
            <v>30 Sep 2021</v>
          </cell>
          <cell r="J68">
            <v>44461</v>
          </cell>
          <cell r="K68">
            <v>44469</v>
          </cell>
          <cell r="L68">
            <v>44461</v>
          </cell>
          <cell r="M68">
            <v>44469</v>
          </cell>
          <cell r="N68">
            <v>44461</v>
          </cell>
          <cell r="O68">
            <v>44469</v>
          </cell>
        </row>
        <row r="69">
          <cell r="A69" t="str">
            <v>A1030.2.5</v>
          </cell>
          <cell r="C69" t="str">
            <v>ED2 Weighbridge System Package (Rev 0b) Review (2nd Round)</v>
          </cell>
          <cell r="D69" t="str">
            <v>6</v>
          </cell>
          <cell r="F69" t="str">
            <v>100%</v>
          </cell>
          <cell r="G69" t="str">
            <v>100%</v>
          </cell>
          <cell r="H69" t="str">
            <v>01 Oct 2021</v>
          </cell>
          <cell r="I69" t="str">
            <v>07 Oct 2021</v>
          </cell>
          <cell r="J69">
            <v>44470</v>
          </cell>
          <cell r="K69">
            <v>44476</v>
          </cell>
          <cell r="L69">
            <v>44470</v>
          </cell>
          <cell r="M69">
            <v>44476</v>
          </cell>
          <cell r="N69">
            <v>44470</v>
          </cell>
          <cell r="O69">
            <v>44476</v>
          </cell>
        </row>
        <row r="70">
          <cell r="A70" t="str">
            <v>A1030.2.6</v>
          </cell>
          <cell r="C70" t="str">
            <v>ED2 Weighbridge System Package (Rev 0b) ALC Ammendment (2nd Round)</v>
          </cell>
          <cell r="D70" t="str">
            <v>8</v>
          </cell>
          <cell r="F70" t="str">
            <v>100%</v>
          </cell>
          <cell r="G70" t="str">
            <v>100%</v>
          </cell>
          <cell r="H70" t="str">
            <v>07 Oct 2021</v>
          </cell>
          <cell r="I70" t="str">
            <v>15 Oct 2021</v>
          </cell>
          <cell r="J70">
            <v>44476</v>
          </cell>
          <cell r="K70">
            <v>44484</v>
          </cell>
          <cell r="L70">
            <v>44476</v>
          </cell>
          <cell r="M70">
            <v>44484</v>
          </cell>
          <cell r="N70">
            <v>44476</v>
          </cell>
          <cell r="O70">
            <v>44484</v>
          </cell>
        </row>
        <row r="71">
          <cell r="A71" t="str">
            <v>A1030.2.7</v>
          </cell>
          <cell r="C71" t="str">
            <v>ED2 Weighbridge System Package (Rev 0) Review by SO/ NEA</v>
          </cell>
          <cell r="D71" t="str">
            <v>11</v>
          </cell>
          <cell r="F71" t="str">
            <v>100%</v>
          </cell>
          <cell r="G71" t="str">
            <v>100%</v>
          </cell>
          <cell r="H71" t="str">
            <v>06 May 2022</v>
          </cell>
          <cell r="I71" t="str">
            <v>18 May 2022</v>
          </cell>
          <cell r="J71">
            <v>44687</v>
          </cell>
          <cell r="K71">
            <v>44699</v>
          </cell>
          <cell r="L71">
            <v>44687</v>
          </cell>
          <cell r="M71">
            <v>44699</v>
          </cell>
          <cell r="N71">
            <v>44687</v>
          </cell>
          <cell r="O71">
            <v>44699</v>
          </cell>
        </row>
        <row r="72">
          <cell r="A72" t="str">
            <v>A1030.2.8</v>
          </cell>
          <cell r="C72" t="str">
            <v>ED2 Weighbridge System Package (Rev 1a) Ammendment by ALC on SO comments and Re-submission to KSPL</v>
          </cell>
          <cell r="D72" t="str">
            <v>30</v>
          </cell>
          <cell r="F72" t="str">
            <v>100%</v>
          </cell>
          <cell r="G72" t="str">
            <v>100%</v>
          </cell>
          <cell r="H72" t="str">
            <v>19 May 2022</v>
          </cell>
          <cell r="I72" t="str">
            <v>22 Jun 2022</v>
          </cell>
          <cell r="J72">
            <v>44700</v>
          </cell>
          <cell r="K72">
            <v>44734</v>
          </cell>
          <cell r="L72">
            <v>44700</v>
          </cell>
          <cell r="M72">
            <v>44734</v>
          </cell>
          <cell r="N72">
            <v>44700</v>
          </cell>
          <cell r="O72">
            <v>44734</v>
          </cell>
        </row>
        <row r="73">
          <cell r="A73" t="str">
            <v>A1030.2.9</v>
          </cell>
          <cell r="C73" t="str">
            <v>ED2 Weighbridge System Package (Rev 1a) Review (1st Round)</v>
          </cell>
          <cell r="D73" t="str">
            <v>6</v>
          </cell>
          <cell r="F73" t="str">
            <v>100%</v>
          </cell>
          <cell r="G73" t="str">
            <v>100%</v>
          </cell>
          <cell r="H73" t="str">
            <v>23 Jun 2022</v>
          </cell>
          <cell r="I73" t="str">
            <v>29 Jun 2022</v>
          </cell>
          <cell r="J73">
            <v>44735</v>
          </cell>
          <cell r="K73">
            <v>44741</v>
          </cell>
          <cell r="L73">
            <v>44735</v>
          </cell>
          <cell r="M73">
            <v>44741</v>
          </cell>
          <cell r="N73">
            <v>44735</v>
          </cell>
          <cell r="O73">
            <v>44741</v>
          </cell>
        </row>
        <row r="74">
          <cell r="A74" t="str">
            <v>A1030.2.10</v>
          </cell>
          <cell r="C74" t="str">
            <v>ED2 Weighbridge System Package (Rev 1a) ALC Ammendment (1st Round)</v>
          </cell>
          <cell r="D74" t="str">
            <v>26.11</v>
          </cell>
          <cell r="F74" t="str">
            <v>100%</v>
          </cell>
          <cell r="G74" t="str">
            <v>100%</v>
          </cell>
          <cell r="H74" t="str">
            <v>30 Jun 2022</v>
          </cell>
          <cell r="I74" t="str">
            <v>01 Aug 2022</v>
          </cell>
          <cell r="J74">
            <v>44742</v>
          </cell>
          <cell r="K74">
            <v>44774</v>
          </cell>
          <cell r="L74">
            <v>44742</v>
          </cell>
          <cell r="M74">
            <v>44774</v>
          </cell>
          <cell r="N74">
            <v>44742</v>
          </cell>
          <cell r="O74">
            <v>44774</v>
          </cell>
        </row>
        <row r="75">
          <cell r="A75" t="str">
            <v>A1030.2.11</v>
          </cell>
          <cell r="C75" t="str">
            <v>ED2 Weighbridge System Package (Rev 1b) Review (2nd Round)</v>
          </cell>
          <cell r="D75" t="str">
            <v>7.11</v>
          </cell>
          <cell r="F75" t="str">
            <v>100%</v>
          </cell>
          <cell r="G75" t="str">
            <v>100%</v>
          </cell>
          <cell r="H75" t="str">
            <v>02 Aug 2022</v>
          </cell>
          <cell r="I75" t="str">
            <v>11 Aug 2022</v>
          </cell>
          <cell r="J75">
            <v>44775</v>
          </cell>
          <cell r="K75">
            <v>44784</v>
          </cell>
          <cell r="L75">
            <v>44775</v>
          </cell>
          <cell r="M75">
            <v>44784</v>
          </cell>
          <cell r="N75">
            <v>44775</v>
          </cell>
          <cell r="O75">
            <v>44784</v>
          </cell>
        </row>
        <row r="76">
          <cell r="A76" t="str">
            <v>A1030.2.12</v>
          </cell>
          <cell r="C76" t="str">
            <v>ED2 Weighbridge System Package (Rev 1b) ALC Ammendment (2nd Round)</v>
          </cell>
          <cell r="D76" t="str">
            <v>8</v>
          </cell>
          <cell r="F76" t="str">
            <v>100%</v>
          </cell>
          <cell r="G76" t="str">
            <v>100%</v>
          </cell>
          <cell r="H76" t="str">
            <v>12 Aug 2022</v>
          </cell>
          <cell r="I76" t="str">
            <v>20 Aug 2022</v>
          </cell>
          <cell r="J76">
            <v>44785</v>
          </cell>
          <cell r="K76">
            <v>44793</v>
          </cell>
          <cell r="L76">
            <v>44785</v>
          </cell>
          <cell r="M76">
            <v>44793</v>
          </cell>
          <cell r="N76">
            <v>44785</v>
          </cell>
          <cell r="O76">
            <v>44793</v>
          </cell>
        </row>
        <row r="77">
          <cell r="A77" t="str">
            <v>A1030.2.13</v>
          </cell>
          <cell r="C77" t="str">
            <v>ED2 Weighbridge System Package (Rev 1) Review by SO/ NEA</v>
          </cell>
          <cell r="D77" t="str">
            <v>10</v>
          </cell>
          <cell r="F77" t="str">
            <v>100%</v>
          </cell>
          <cell r="G77" t="str">
            <v>100%</v>
          </cell>
          <cell r="H77" t="str">
            <v>23 Aug 2022</v>
          </cell>
          <cell r="I77" t="str">
            <v>02 Sep 2022</v>
          </cell>
          <cell r="J77">
            <v>44796</v>
          </cell>
          <cell r="K77">
            <v>44806</v>
          </cell>
          <cell r="L77">
            <v>44796</v>
          </cell>
          <cell r="M77">
            <v>44806</v>
          </cell>
          <cell r="N77">
            <v>44796</v>
          </cell>
          <cell r="O77">
            <v>44806</v>
          </cell>
        </row>
        <row r="78">
          <cell r="A78" t="str">
            <v>A1030.2.14</v>
          </cell>
          <cell r="C78" t="str">
            <v>ED2 Weighbridge System Package (Review 2 and above monitored accepted with comments, No Re-submission Required)</v>
          </cell>
          <cell r="D78" t="str">
            <v>27.11</v>
          </cell>
          <cell r="F78" t="str">
            <v>100%</v>
          </cell>
          <cell r="G78" t="str">
            <v>100%</v>
          </cell>
          <cell r="H78" t="str">
            <v>05 Sep 2022</v>
          </cell>
          <cell r="I78" t="str">
            <v>14 Jul 2023</v>
          </cell>
          <cell r="J78">
            <v>44809</v>
          </cell>
          <cell r="K78">
            <v>45646</v>
          </cell>
          <cell r="L78">
            <v>44809</v>
          </cell>
          <cell r="M78">
            <v>45121</v>
          </cell>
          <cell r="N78">
            <v>44809</v>
          </cell>
          <cell r="O78">
            <v>45646</v>
          </cell>
        </row>
        <row r="79">
          <cell r="A79" t="str">
            <v>A1030.3</v>
          </cell>
          <cell r="C79" t="str">
            <v>ED3 Preparation, Submission, Review &amp; Acceptance</v>
          </cell>
          <cell r="D79" t="str">
            <v>304.6</v>
          </cell>
          <cell r="F79" t="str">
            <v>100%</v>
          </cell>
          <cell r="G79" t="str">
            <v>100%</v>
          </cell>
          <cell r="H79" t="str">
            <v>03 Sep 2022</v>
          </cell>
          <cell r="I79" t="str">
            <v>22 Jul 2023</v>
          </cell>
          <cell r="J79">
            <v>45124</v>
          </cell>
          <cell r="K79">
            <v>45490</v>
          </cell>
          <cell r="L79">
            <v>44807</v>
          </cell>
          <cell r="M79">
            <v>45129</v>
          </cell>
          <cell r="N79">
            <v>45124</v>
          </cell>
          <cell r="O79">
            <v>45490</v>
          </cell>
        </row>
        <row r="80">
          <cell r="A80" t="str">
            <v>A1030.3.1</v>
          </cell>
          <cell r="C80" t="str">
            <v>ED3 Weighbridge System Package (Rev 0a) Preparation by ALC</v>
          </cell>
          <cell r="D80" t="str">
            <v>11</v>
          </cell>
          <cell r="F80" t="str">
            <v>100%</v>
          </cell>
          <cell r="G80" t="str">
            <v>100%</v>
          </cell>
          <cell r="H80" t="str">
            <v>03 Sep 2022</v>
          </cell>
          <cell r="I80" t="str">
            <v>05 Oct 2022</v>
          </cell>
          <cell r="J80">
            <v>45124</v>
          </cell>
          <cell r="K80">
            <v>45135</v>
          </cell>
          <cell r="L80">
            <v>44807</v>
          </cell>
          <cell r="M80">
            <v>44839</v>
          </cell>
          <cell r="N80">
            <v>45124</v>
          </cell>
          <cell r="O80">
            <v>45135</v>
          </cell>
        </row>
        <row r="81">
          <cell r="A81" t="str">
            <v>A1030.3.2</v>
          </cell>
          <cell r="C81" t="str">
            <v>ED3 Weighbridge System Package (Rev 0a) Submission to KSPL</v>
          </cell>
          <cell r="D81" t="str">
            <v>2</v>
          </cell>
          <cell r="F81" t="str">
            <v>100%</v>
          </cell>
          <cell r="G81" t="str">
            <v>100%</v>
          </cell>
          <cell r="H81" t="str">
            <v>04 Oct 2022</v>
          </cell>
          <cell r="I81" t="str">
            <v>05 Oct 2022</v>
          </cell>
          <cell r="J81">
            <v>45135</v>
          </cell>
          <cell r="K81">
            <v>45136</v>
          </cell>
          <cell r="L81">
            <v>44838</v>
          </cell>
          <cell r="M81">
            <v>44839</v>
          </cell>
          <cell r="N81">
            <v>45135</v>
          </cell>
          <cell r="O81">
            <v>45136</v>
          </cell>
        </row>
        <row r="82">
          <cell r="A82" t="str">
            <v>A1030.3.3</v>
          </cell>
          <cell r="C82" t="str">
            <v>ED3 Weighbridge System Package (Rev 0a) Review (1st Round)</v>
          </cell>
          <cell r="D82" t="str">
            <v>2</v>
          </cell>
          <cell r="F82" t="str">
            <v>100%</v>
          </cell>
          <cell r="G82" t="str">
            <v>100%</v>
          </cell>
          <cell r="H82" t="str">
            <v>07 Oct 2022</v>
          </cell>
          <cell r="I82" t="str">
            <v>19 Oct 2022</v>
          </cell>
          <cell r="J82">
            <v>45135</v>
          </cell>
          <cell r="K82">
            <v>45136</v>
          </cell>
          <cell r="L82">
            <v>44841</v>
          </cell>
          <cell r="M82">
            <v>44853</v>
          </cell>
          <cell r="N82">
            <v>45135</v>
          </cell>
          <cell r="O82">
            <v>45136</v>
          </cell>
        </row>
        <row r="83">
          <cell r="A83" t="str">
            <v>A1030.3.4</v>
          </cell>
          <cell r="C83" t="str">
            <v>ED3 Weighbridge System Package (Rev 0a) ALC Ammendment (1st Round)</v>
          </cell>
          <cell r="D83" t="str">
            <v>2</v>
          </cell>
          <cell r="F83" t="str">
            <v>100%</v>
          </cell>
          <cell r="G83" t="str">
            <v>100%</v>
          </cell>
          <cell r="H83" t="str">
            <v>20 Oct 2022</v>
          </cell>
          <cell r="I83" t="str">
            <v>26 Oct 2022</v>
          </cell>
          <cell r="J83">
            <v>45135</v>
          </cell>
          <cell r="K83">
            <v>45136</v>
          </cell>
          <cell r="L83">
            <v>44854</v>
          </cell>
          <cell r="M83">
            <v>44860</v>
          </cell>
          <cell r="N83">
            <v>45135</v>
          </cell>
          <cell r="O83">
            <v>45136</v>
          </cell>
        </row>
        <row r="84">
          <cell r="A84" t="str">
            <v>A1030.3.5</v>
          </cell>
          <cell r="C84" t="str">
            <v>ED3 Weighbridge System Package (Rev 0b) Review (2nd Round)</v>
          </cell>
          <cell r="D84" t="str">
            <v>2</v>
          </cell>
          <cell r="F84" t="str">
            <v>100%</v>
          </cell>
          <cell r="G84" t="str">
            <v>100%</v>
          </cell>
          <cell r="H84" t="str">
            <v>28 Oct 2022</v>
          </cell>
          <cell r="I84" t="str">
            <v>04 Nov 2022</v>
          </cell>
          <cell r="J84">
            <v>45135</v>
          </cell>
          <cell r="K84">
            <v>45136</v>
          </cell>
          <cell r="L84">
            <v>44862</v>
          </cell>
          <cell r="M84">
            <v>44869</v>
          </cell>
          <cell r="N84">
            <v>45135</v>
          </cell>
          <cell r="O84">
            <v>45136</v>
          </cell>
        </row>
        <row r="85">
          <cell r="A85" t="str">
            <v>A1030.3.6</v>
          </cell>
          <cell r="C85" t="str">
            <v>ED3 Weighbridge System Package (Rev 0b) ALC Ammendment (2nd Round)</v>
          </cell>
          <cell r="D85" t="str">
            <v>2</v>
          </cell>
          <cell r="F85" t="str">
            <v>100%</v>
          </cell>
          <cell r="G85" t="str">
            <v>100%</v>
          </cell>
          <cell r="H85" t="str">
            <v>05 Nov 2022</v>
          </cell>
          <cell r="I85" t="str">
            <v>09 Nov 2022</v>
          </cell>
          <cell r="J85">
            <v>45135</v>
          </cell>
          <cell r="K85">
            <v>45136</v>
          </cell>
          <cell r="L85">
            <v>44870</v>
          </cell>
          <cell r="M85">
            <v>44874</v>
          </cell>
          <cell r="N85">
            <v>45135</v>
          </cell>
          <cell r="O85">
            <v>45136</v>
          </cell>
        </row>
        <row r="86">
          <cell r="A86" t="str">
            <v>A1030.3.7</v>
          </cell>
          <cell r="C86" t="str">
            <v>ED3 Weighbridge System Package (Rev 0) Review by SO/ NEA</v>
          </cell>
          <cell r="D86" t="str">
            <v>0</v>
          </cell>
          <cell r="F86" t="str">
            <v>100%</v>
          </cell>
          <cell r="G86" t="str">
            <v>100%</v>
          </cell>
          <cell r="H86" t="str">
            <v>09 Nov 2022</v>
          </cell>
          <cell r="I86" t="str">
            <v>07 Nov 2022</v>
          </cell>
          <cell r="J86">
            <v>45138</v>
          </cell>
          <cell r="K86">
            <v>45154</v>
          </cell>
          <cell r="L86">
            <v>44874</v>
          </cell>
          <cell r="M86">
            <v>44872</v>
          </cell>
          <cell r="N86">
            <v>45138</v>
          </cell>
          <cell r="O86">
            <v>45154</v>
          </cell>
        </row>
        <row r="87">
          <cell r="A87" t="str">
            <v>A1030.3.8</v>
          </cell>
          <cell r="C87" t="str">
            <v>ED3 Weighbridge System Package (Rev 1a) Ammendment by ALC on SO comments and Re-submission to KSPL</v>
          </cell>
          <cell r="D87" t="str">
            <v>5.6</v>
          </cell>
          <cell r="F87" t="str">
            <v>100%</v>
          </cell>
          <cell r="G87" t="str">
            <v>100%</v>
          </cell>
          <cell r="H87" t="str">
            <v>28 Nov 2022</v>
          </cell>
          <cell r="I87" t="str">
            <v>05 Dec 2022</v>
          </cell>
          <cell r="J87">
            <v>45154</v>
          </cell>
          <cell r="K87">
            <v>45161</v>
          </cell>
          <cell r="L87">
            <v>44893</v>
          </cell>
          <cell r="M87">
            <v>44900</v>
          </cell>
          <cell r="N87">
            <v>45154</v>
          </cell>
          <cell r="O87">
            <v>45161</v>
          </cell>
        </row>
        <row r="88">
          <cell r="A88" t="str">
            <v>A1030.3.9</v>
          </cell>
          <cell r="C88" t="str">
            <v>ED3 Weighbridge System Package (Rev 1a) Review (1st Round)</v>
          </cell>
          <cell r="D88" t="str">
            <v>1</v>
          </cell>
          <cell r="F88" t="str">
            <v>100%</v>
          </cell>
          <cell r="G88" t="str">
            <v>100%</v>
          </cell>
          <cell r="H88" t="str">
            <v>06 Dec 2022</v>
          </cell>
          <cell r="I88" t="str">
            <v>12 Dec 2022</v>
          </cell>
          <cell r="J88">
            <v>45209</v>
          </cell>
          <cell r="K88">
            <v>45209</v>
          </cell>
          <cell r="L88">
            <v>44901</v>
          </cell>
          <cell r="M88">
            <v>44907</v>
          </cell>
          <cell r="N88">
            <v>45209</v>
          </cell>
          <cell r="O88">
            <v>45209</v>
          </cell>
        </row>
        <row r="89">
          <cell r="A89" t="str">
            <v>A1030.3.10</v>
          </cell>
          <cell r="C89" t="str">
            <v>ED3 Weighbridge System Package (Rev 1a) ALC Ammendment (1st Round)</v>
          </cell>
          <cell r="D89" t="str">
            <v>0</v>
          </cell>
          <cell r="F89" t="str">
            <v>100%</v>
          </cell>
          <cell r="G89" t="str">
            <v>100%</v>
          </cell>
          <cell r="H89" t="str">
            <v>13 Dec 2022</v>
          </cell>
          <cell r="I89" t="str">
            <v>16 Dec 2022</v>
          </cell>
          <cell r="J89">
            <v>45214</v>
          </cell>
          <cell r="K89">
            <v>45214</v>
          </cell>
          <cell r="L89">
            <v>44908</v>
          </cell>
          <cell r="M89">
            <v>44911</v>
          </cell>
          <cell r="N89">
            <v>45214</v>
          </cell>
          <cell r="O89">
            <v>45214</v>
          </cell>
        </row>
        <row r="90">
          <cell r="A90" t="str">
            <v>A1030.3.11</v>
          </cell>
          <cell r="C90" t="str">
            <v>ED3 Weighbridge System Package (Rev 1b) Review (2nd Round)</v>
          </cell>
          <cell r="D90" t="str">
            <v>1</v>
          </cell>
          <cell r="F90" t="str">
            <v>100%</v>
          </cell>
          <cell r="G90" t="str">
            <v>100%</v>
          </cell>
          <cell r="H90" t="str">
            <v>17 Dec 2022</v>
          </cell>
          <cell r="I90" t="str">
            <v>23 Dec 2022</v>
          </cell>
          <cell r="J90">
            <v>45215</v>
          </cell>
          <cell r="K90">
            <v>45215</v>
          </cell>
          <cell r="L90">
            <v>44912</v>
          </cell>
          <cell r="M90">
            <v>44918</v>
          </cell>
          <cell r="N90">
            <v>45215</v>
          </cell>
          <cell r="O90">
            <v>45215</v>
          </cell>
        </row>
        <row r="91">
          <cell r="A91" t="str">
            <v>A1030.3.12</v>
          </cell>
          <cell r="C91" t="str">
            <v>ED3 Weighbridge System Package (Rev 1b) ALC Ammendment (2nd Round)</v>
          </cell>
          <cell r="D91" t="str">
            <v>6</v>
          </cell>
          <cell r="F91" t="str">
            <v>100%</v>
          </cell>
          <cell r="G91" t="str">
            <v>100%</v>
          </cell>
          <cell r="H91" t="str">
            <v>24 Dec 2022</v>
          </cell>
          <cell r="I91" t="str">
            <v>29 Dec 2022</v>
          </cell>
          <cell r="J91">
            <v>45216</v>
          </cell>
          <cell r="K91">
            <v>45222</v>
          </cell>
          <cell r="L91">
            <v>44919</v>
          </cell>
          <cell r="M91">
            <v>44924</v>
          </cell>
          <cell r="N91">
            <v>45216</v>
          </cell>
          <cell r="O91">
            <v>45222</v>
          </cell>
        </row>
        <row r="92">
          <cell r="A92" t="str">
            <v>A1030.3.13</v>
          </cell>
          <cell r="C92" t="str">
            <v>ED3 Weighbridge System Package (Rev 1) Review by SO/ NEA</v>
          </cell>
          <cell r="D92" t="str">
            <v>18</v>
          </cell>
          <cell r="F92" t="str">
            <v>100%</v>
          </cell>
          <cell r="G92" t="str">
            <v>100%</v>
          </cell>
          <cell r="H92" t="str">
            <v>31 Dec 2022</v>
          </cell>
          <cell r="I92" t="str">
            <v>19 Jan 2023</v>
          </cell>
          <cell r="J92">
            <v>45223</v>
          </cell>
          <cell r="K92">
            <v>45244</v>
          </cell>
          <cell r="L92">
            <v>44926</v>
          </cell>
          <cell r="M92">
            <v>44945</v>
          </cell>
          <cell r="N92">
            <v>45223</v>
          </cell>
          <cell r="O92">
            <v>45244</v>
          </cell>
        </row>
        <row r="93">
          <cell r="A93" t="str">
            <v>A1030.3.13</v>
          </cell>
          <cell r="C93" t="str">
            <v>ED3 Weighbridge System Package (Review 2 and above monitored accepted with comments, No Re-submission Required)</v>
          </cell>
          <cell r="D93" t="str">
            <v>27</v>
          </cell>
          <cell r="F93" t="str">
            <v>100%</v>
          </cell>
          <cell r="G93" t="str">
            <v>100%</v>
          </cell>
          <cell r="H93" t="str">
            <v>21 Jun 2023</v>
          </cell>
          <cell r="I93" t="str">
            <v>22 Jul 2023</v>
          </cell>
          <cell r="J93">
            <v>45265</v>
          </cell>
          <cell r="K93">
            <v>45490</v>
          </cell>
          <cell r="L93">
            <v>45098</v>
          </cell>
          <cell r="M93">
            <v>45129</v>
          </cell>
          <cell r="N93">
            <v>45265</v>
          </cell>
          <cell r="O93">
            <v>45490</v>
          </cell>
        </row>
        <row r="94">
          <cell r="A94" t="str">
            <v>A1030.4</v>
          </cell>
          <cell r="C94" t="str">
            <v>AD3 Preparation, Submission, Review &amp; Acceptance</v>
          </cell>
          <cell r="D94" t="str">
            <v>864.56</v>
          </cell>
          <cell r="F94" t="str">
            <v>100%</v>
          </cell>
          <cell r="G94" t="str">
            <v>100%</v>
          </cell>
          <cell r="H94" t="str">
            <v>10 Feb 2022</v>
          </cell>
          <cell r="I94" t="str">
            <v>10 Jul 2023</v>
          </cell>
          <cell r="J94">
            <v>44601</v>
          </cell>
          <cell r="K94">
            <v>45637</v>
          </cell>
          <cell r="L94">
            <v>44602</v>
          </cell>
          <cell r="M94">
            <v>45117</v>
          </cell>
          <cell r="N94">
            <v>44601</v>
          </cell>
          <cell r="O94">
            <v>45637</v>
          </cell>
        </row>
        <row r="95">
          <cell r="A95" t="str">
            <v>A1030.4.1</v>
          </cell>
          <cell r="C95" t="str">
            <v>AD3 Weighbridge System Package (Rev 0a) Preparation by ALC</v>
          </cell>
          <cell r="D95" t="str">
            <v>124</v>
          </cell>
          <cell r="F95" t="str">
            <v>100%</v>
          </cell>
          <cell r="G95" t="str">
            <v>100%</v>
          </cell>
          <cell r="H95" t="str">
            <v>10 Feb 2022</v>
          </cell>
          <cell r="I95" t="str">
            <v>07 Jul 2022</v>
          </cell>
          <cell r="J95">
            <v>44601</v>
          </cell>
          <cell r="K95">
            <v>44748</v>
          </cell>
          <cell r="L95">
            <v>44602</v>
          </cell>
          <cell r="M95">
            <v>44749</v>
          </cell>
          <cell r="N95">
            <v>44601</v>
          </cell>
          <cell r="O95">
            <v>44748</v>
          </cell>
        </row>
        <row r="96">
          <cell r="A96" t="str">
            <v>A1030.4.2</v>
          </cell>
          <cell r="C96" t="str">
            <v>AD3 Weighbridge System Package (Rev 0a) Submission to KSPL</v>
          </cell>
          <cell r="D96" t="str">
            <v>18</v>
          </cell>
          <cell r="F96" t="str">
            <v>100%</v>
          </cell>
          <cell r="G96" t="str">
            <v>100%</v>
          </cell>
          <cell r="H96" t="str">
            <v>08 Jul 2022</v>
          </cell>
          <cell r="I96" t="str">
            <v>20 Jul 2022</v>
          </cell>
          <cell r="J96">
            <v>44749</v>
          </cell>
          <cell r="K96">
            <v>44770</v>
          </cell>
          <cell r="L96">
            <v>44750</v>
          </cell>
          <cell r="M96">
            <v>44762</v>
          </cell>
          <cell r="N96">
            <v>44749</v>
          </cell>
          <cell r="O96">
            <v>44770</v>
          </cell>
        </row>
        <row r="97">
          <cell r="A97" t="str">
            <v>A1030.4.3</v>
          </cell>
          <cell r="C97" t="str">
            <v>AD3 Weighbridge System Package (Rev 0a) Review (1st Round)</v>
          </cell>
          <cell r="D97" t="str">
            <v>2</v>
          </cell>
          <cell r="F97" t="str">
            <v>100%</v>
          </cell>
          <cell r="G97" t="str">
            <v>100%</v>
          </cell>
          <cell r="H97" t="str">
            <v>21 Jul 2022</v>
          </cell>
          <cell r="I97" t="str">
            <v>22 Jul 2022</v>
          </cell>
          <cell r="J97">
            <v>44889</v>
          </cell>
          <cell r="K97">
            <v>44890</v>
          </cell>
          <cell r="L97">
            <v>44763</v>
          </cell>
          <cell r="M97">
            <v>44764</v>
          </cell>
          <cell r="N97">
            <v>44889</v>
          </cell>
          <cell r="O97">
            <v>44890</v>
          </cell>
        </row>
        <row r="98">
          <cell r="A98" t="str">
            <v>A1030.4.4</v>
          </cell>
          <cell r="C98" t="str">
            <v>AD3 Weighbridge System Package (Rev 0a) ALC Ammendment (1st Round)</v>
          </cell>
          <cell r="D98" t="str">
            <v>18</v>
          </cell>
          <cell r="F98" t="str">
            <v>100%</v>
          </cell>
          <cell r="G98" t="str">
            <v>100%</v>
          </cell>
          <cell r="H98" t="str">
            <v>22 Jul 2022</v>
          </cell>
          <cell r="I98" t="str">
            <v>28 Jul 2022</v>
          </cell>
          <cell r="J98">
            <v>44749</v>
          </cell>
          <cell r="K98">
            <v>44770</v>
          </cell>
          <cell r="L98">
            <v>44764</v>
          </cell>
          <cell r="M98">
            <v>44770</v>
          </cell>
          <cell r="N98">
            <v>44749</v>
          </cell>
          <cell r="O98">
            <v>44770</v>
          </cell>
        </row>
        <row r="99">
          <cell r="A99" t="str">
            <v>A1030.4.5</v>
          </cell>
          <cell r="C99" t="str">
            <v>AD3 Weighbridge System Package (Rev 0b) Review (2nd Round)</v>
          </cell>
          <cell r="D99" t="str">
            <v>8</v>
          </cell>
          <cell r="F99" t="str">
            <v>100%</v>
          </cell>
          <cell r="G99" t="str">
            <v>100%</v>
          </cell>
          <cell r="H99" t="str">
            <v>29 Jul 2022</v>
          </cell>
          <cell r="I99" t="str">
            <v>05 Sep 2022</v>
          </cell>
          <cell r="J99">
            <v>44810</v>
          </cell>
          <cell r="K99">
            <v>44818</v>
          </cell>
          <cell r="L99">
            <v>44771</v>
          </cell>
          <cell r="M99">
            <v>44809</v>
          </cell>
          <cell r="N99">
            <v>44810</v>
          </cell>
          <cell r="O99">
            <v>44818</v>
          </cell>
        </row>
        <row r="100">
          <cell r="A100" t="str">
            <v>A1030.4.6</v>
          </cell>
          <cell r="C100" t="str">
            <v>AD3 Weighbridge System Package (Rev 0b) ALC Ammendment (2nd Round)</v>
          </cell>
          <cell r="D100" t="str">
            <v>2</v>
          </cell>
          <cell r="F100" t="str">
            <v>100%</v>
          </cell>
          <cell r="G100" t="str">
            <v>100%</v>
          </cell>
          <cell r="H100" t="str">
            <v>07 Sep 2022</v>
          </cell>
          <cell r="I100" t="str">
            <v>14 Sep 2022</v>
          </cell>
          <cell r="J100">
            <v>44818</v>
          </cell>
          <cell r="K100">
            <v>44820</v>
          </cell>
          <cell r="L100">
            <v>44811</v>
          </cell>
          <cell r="M100">
            <v>44818</v>
          </cell>
          <cell r="N100">
            <v>44818</v>
          </cell>
          <cell r="O100">
            <v>44820</v>
          </cell>
        </row>
        <row r="101">
          <cell r="A101" t="str">
            <v>A1030.4.7</v>
          </cell>
          <cell r="C101" t="str">
            <v>AD3 Weighbridge System Package (Rev 0) Review by SO/ NEA</v>
          </cell>
          <cell r="D101" t="str">
            <v>0</v>
          </cell>
          <cell r="F101" t="str">
            <v>100%</v>
          </cell>
          <cell r="G101" t="str">
            <v>100%</v>
          </cell>
          <cell r="H101" t="str">
            <v>14 Sep 2022</v>
          </cell>
          <cell r="I101" t="str">
            <v>27 Sep 2022</v>
          </cell>
          <cell r="J101">
            <v>44821</v>
          </cell>
          <cell r="K101">
            <v>44848</v>
          </cell>
          <cell r="L101">
            <v>44818</v>
          </cell>
          <cell r="M101">
            <v>44831</v>
          </cell>
          <cell r="N101">
            <v>44821</v>
          </cell>
          <cell r="O101">
            <v>44848</v>
          </cell>
        </row>
        <row r="102">
          <cell r="A102" t="str">
            <v>A1030.4.8</v>
          </cell>
          <cell r="C102" t="str">
            <v>AD3 Weighbridge System Package (Rev 1a) Ammendment by ALC on SO comments and Re-submission to KSPL</v>
          </cell>
          <cell r="D102" t="str">
            <v>37</v>
          </cell>
          <cell r="F102" t="str">
            <v>100%</v>
          </cell>
          <cell r="G102" t="str">
            <v>100%</v>
          </cell>
          <cell r="H102" t="str">
            <v>29 Sep 2022</v>
          </cell>
          <cell r="I102" t="str">
            <v>04 Oct 2022</v>
          </cell>
          <cell r="J102">
            <v>44851</v>
          </cell>
          <cell r="K102">
            <v>44894</v>
          </cell>
          <cell r="L102">
            <v>44833</v>
          </cell>
          <cell r="M102">
            <v>44838</v>
          </cell>
          <cell r="N102">
            <v>44851</v>
          </cell>
          <cell r="O102">
            <v>44894</v>
          </cell>
        </row>
        <row r="103">
          <cell r="A103" t="str">
            <v>A1030.4.9</v>
          </cell>
          <cell r="C103" t="str">
            <v>AD3 Weighbridge System Package (Rev 1a) Review (1st Round)</v>
          </cell>
          <cell r="D103" t="str">
            <v>20</v>
          </cell>
          <cell r="F103" t="str">
            <v>100%</v>
          </cell>
          <cell r="G103" t="str">
            <v>100%</v>
          </cell>
          <cell r="H103" t="str">
            <v>05 Oct 2022</v>
          </cell>
          <cell r="I103" t="str">
            <v>30 Nov 2022</v>
          </cell>
          <cell r="J103">
            <v>44895</v>
          </cell>
          <cell r="K103">
            <v>44917</v>
          </cell>
          <cell r="L103">
            <v>44839</v>
          </cell>
          <cell r="M103">
            <v>44895</v>
          </cell>
          <cell r="N103">
            <v>44895</v>
          </cell>
          <cell r="O103">
            <v>44917</v>
          </cell>
        </row>
        <row r="104">
          <cell r="A104" t="str">
            <v>A1030.4.10</v>
          </cell>
          <cell r="C104" t="str">
            <v>AD3 Weighbridge System Package (Rev 1a) ALC Ammendment (1st Round)</v>
          </cell>
          <cell r="D104" t="str">
            <v>25</v>
          </cell>
          <cell r="F104" t="str">
            <v>100%</v>
          </cell>
          <cell r="G104" t="str">
            <v>100%</v>
          </cell>
          <cell r="H104" t="str">
            <v>01 Dec 2022</v>
          </cell>
          <cell r="I104" t="str">
            <v>30 Dec 2022</v>
          </cell>
          <cell r="J104">
            <v>44918</v>
          </cell>
          <cell r="K104">
            <v>44951</v>
          </cell>
          <cell r="L104">
            <v>44896</v>
          </cell>
          <cell r="M104">
            <v>44925</v>
          </cell>
          <cell r="N104">
            <v>44918</v>
          </cell>
          <cell r="O104">
            <v>44951</v>
          </cell>
        </row>
        <row r="105">
          <cell r="A105" t="str">
            <v>A1030.4.11</v>
          </cell>
          <cell r="C105" t="str">
            <v>AD3 Weighbridge System Package (Rev 1b) Review (2nd Round)</v>
          </cell>
          <cell r="D105" t="str">
            <v>7</v>
          </cell>
          <cell r="F105" t="str">
            <v>100%</v>
          </cell>
          <cell r="G105" t="str">
            <v>100%</v>
          </cell>
          <cell r="H105" t="str">
            <v>31 Dec 2022</v>
          </cell>
          <cell r="I105" t="str">
            <v>09 Jan 2023</v>
          </cell>
          <cell r="J105">
            <v>44952</v>
          </cell>
          <cell r="K105">
            <v>44959</v>
          </cell>
          <cell r="L105">
            <v>44926</v>
          </cell>
          <cell r="M105">
            <v>44935</v>
          </cell>
          <cell r="N105">
            <v>44952</v>
          </cell>
          <cell r="O105">
            <v>44959</v>
          </cell>
        </row>
        <row r="106">
          <cell r="A106" t="str">
            <v>A1030.4.12</v>
          </cell>
          <cell r="C106" t="str">
            <v>AD3 Weighbridge System Package (Rev 1b) ALC Ammendment (2nd Round)</v>
          </cell>
          <cell r="D106" t="str">
            <v>4</v>
          </cell>
          <cell r="F106" t="str">
            <v>100%</v>
          </cell>
          <cell r="G106" t="str">
            <v>100%</v>
          </cell>
          <cell r="H106" t="str">
            <v>10 Jan 2023</v>
          </cell>
          <cell r="I106" t="str">
            <v>13 Jan 2023</v>
          </cell>
          <cell r="J106">
            <v>44960</v>
          </cell>
          <cell r="K106">
            <v>44964</v>
          </cell>
          <cell r="L106">
            <v>44936</v>
          </cell>
          <cell r="M106">
            <v>44939</v>
          </cell>
          <cell r="N106">
            <v>44960</v>
          </cell>
          <cell r="O106">
            <v>44964</v>
          </cell>
        </row>
        <row r="107">
          <cell r="A107" t="str">
            <v>A1030.4.13</v>
          </cell>
          <cell r="C107" t="str">
            <v>AD3 Weighbridge System Package (Rev 1) Review by SO/ NEA</v>
          </cell>
          <cell r="D107" t="str">
            <v>0</v>
          </cell>
          <cell r="F107" t="str">
            <v>100%</v>
          </cell>
          <cell r="G107" t="str">
            <v>100%</v>
          </cell>
          <cell r="H107" t="str">
            <v>14 Jan 2023</v>
          </cell>
          <cell r="I107" t="str">
            <v>04 Feb 2023</v>
          </cell>
          <cell r="J107">
            <v>44923</v>
          </cell>
          <cell r="K107">
            <v>44930</v>
          </cell>
          <cell r="L107">
            <v>44940</v>
          </cell>
          <cell r="M107">
            <v>44961</v>
          </cell>
          <cell r="N107">
            <v>44923</v>
          </cell>
          <cell r="O107">
            <v>44930</v>
          </cell>
        </row>
        <row r="108">
          <cell r="A108" t="str">
            <v>A1030.4.14</v>
          </cell>
          <cell r="C108" t="str">
            <v>AD3 Weighbridge System Package (Review 2 and above monitored accepted with comments, No Re-submission Required)</v>
          </cell>
          <cell r="D108" t="str">
            <v>16</v>
          </cell>
          <cell r="F108" t="str">
            <v>100%</v>
          </cell>
          <cell r="G108" t="str">
            <v>100%</v>
          </cell>
          <cell r="H108" t="str">
            <v>21 Jun 2023</v>
          </cell>
          <cell r="I108" t="str">
            <v>10 Jul 2023</v>
          </cell>
          <cell r="J108">
            <v>45063</v>
          </cell>
          <cell r="K108">
            <v>45637</v>
          </cell>
          <cell r="L108">
            <v>45098</v>
          </cell>
          <cell r="M108">
            <v>45117</v>
          </cell>
          <cell r="N108">
            <v>45063</v>
          </cell>
          <cell r="O108">
            <v>45637</v>
          </cell>
        </row>
        <row r="109">
          <cell r="A109" t="str">
            <v>A1085</v>
          </cell>
          <cell r="C109" t="str">
            <v>Traffic Modelling</v>
          </cell>
          <cell r="D109" t="str">
            <v>680</v>
          </cell>
          <cell r="F109" t="str">
            <v>100%</v>
          </cell>
          <cell r="G109" t="str">
            <v>100%</v>
          </cell>
          <cell r="H109" t="str">
            <v>07 Feb 2022</v>
          </cell>
          <cell r="I109" t="str">
            <v>13 Feb 2023</v>
          </cell>
          <cell r="J109">
            <v>44599</v>
          </cell>
          <cell r="K109">
            <v>45418</v>
          </cell>
          <cell r="L109">
            <v>44599</v>
          </cell>
          <cell r="M109">
            <v>44970</v>
          </cell>
          <cell r="N109">
            <v>44599</v>
          </cell>
          <cell r="O109">
            <v>45418</v>
          </cell>
        </row>
        <row r="110">
          <cell r="A110" t="str">
            <v>A1085.T.01</v>
          </cell>
          <cell r="C110" t="str">
            <v>Award Traffic Modelling Consultant</v>
          </cell>
          <cell r="D110" t="str">
            <v>1</v>
          </cell>
          <cell r="F110" t="str">
            <v>100%</v>
          </cell>
          <cell r="G110" t="str">
            <v>100%</v>
          </cell>
          <cell r="H110" t="str">
            <v>07 Feb 2022</v>
          </cell>
          <cell r="I110" t="str">
            <v>07 Feb 2022</v>
          </cell>
          <cell r="J110">
            <v>44599</v>
          </cell>
          <cell r="K110">
            <v>44599</v>
          </cell>
          <cell r="L110">
            <v>44599</v>
          </cell>
          <cell r="M110">
            <v>44599</v>
          </cell>
          <cell r="N110">
            <v>44599</v>
          </cell>
          <cell r="O110">
            <v>44599</v>
          </cell>
        </row>
        <row r="111">
          <cell r="A111" t="str">
            <v>A1085.T.02</v>
          </cell>
          <cell r="C111" t="str">
            <v>Kick-off Meeting</v>
          </cell>
          <cell r="D111" t="str">
            <v>1.56</v>
          </cell>
          <cell r="F111" t="str">
            <v>100%</v>
          </cell>
          <cell r="G111" t="str">
            <v>100%</v>
          </cell>
          <cell r="H111" t="str">
            <v>22 Feb 2022</v>
          </cell>
          <cell r="I111" t="str">
            <v>23 Feb 2022</v>
          </cell>
          <cell r="J111">
            <v>44614</v>
          </cell>
          <cell r="K111">
            <v>44615</v>
          </cell>
          <cell r="L111">
            <v>44614</v>
          </cell>
          <cell r="M111">
            <v>44615</v>
          </cell>
          <cell r="N111">
            <v>44614</v>
          </cell>
          <cell r="O111">
            <v>44615</v>
          </cell>
        </row>
        <row r="112">
          <cell r="A112" t="str">
            <v>A1085.T.03</v>
          </cell>
          <cell r="C112" t="str">
            <v>First round of model findings in slides [Rev 0a]</v>
          </cell>
          <cell r="D112" t="str">
            <v>28</v>
          </cell>
          <cell r="F112" t="str">
            <v>100%</v>
          </cell>
          <cell r="G112" t="str">
            <v>100%</v>
          </cell>
          <cell r="H112" t="str">
            <v>24 Feb 2022</v>
          </cell>
          <cell r="I112" t="str">
            <v>28 Mar 2022</v>
          </cell>
          <cell r="J112">
            <v>44616</v>
          </cell>
          <cell r="K112">
            <v>44648</v>
          </cell>
          <cell r="L112">
            <v>44616</v>
          </cell>
          <cell r="M112">
            <v>44648</v>
          </cell>
          <cell r="N112">
            <v>44616</v>
          </cell>
          <cell r="O112">
            <v>44648</v>
          </cell>
        </row>
        <row r="113">
          <cell r="A113" t="str">
            <v>A1085.T.04</v>
          </cell>
          <cell r="C113" t="str">
            <v>Comments on Rev 0a findings (allowing time for possible discussion and presentation)</v>
          </cell>
          <cell r="D113" t="str">
            <v>7</v>
          </cell>
          <cell r="F113" t="str">
            <v>100%</v>
          </cell>
          <cell r="G113" t="str">
            <v>100%</v>
          </cell>
          <cell r="H113" t="str">
            <v>29 Mar 2022</v>
          </cell>
          <cell r="I113" t="str">
            <v>05 Apr 2022</v>
          </cell>
          <cell r="J113">
            <v>44649</v>
          </cell>
          <cell r="K113">
            <v>44656</v>
          </cell>
          <cell r="L113">
            <v>44649</v>
          </cell>
          <cell r="M113">
            <v>44656</v>
          </cell>
          <cell r="N113">
            <v>44649</v>
          </cell>
          <cell r="O113">
            <v>44656</v>
          </cell>
        </row>
        <row r="114">
          <cell r="A114" t="str">
            <v>A1085.T.05</v>
          </cell>
          <cell r="C114" t="str">
            <v>Second round of model findings in slides [Rev 0b]</v>
          </cell>
          <cell r="D114" t="str">
            <v>2</v>
          </cell>
          <cell r="F114" t="str">
            <v>100%</v>
          </cell>
          <cell r="G114" t="str">
            <v>100%</v>
          </cell>
          <cell r="H114" t="str">
            <v>06 Apr 2022</v>
          </cell>
          <cell r="I114" t="str">
            <v>07 Apr 2022</v>
          </cell>
          <cell r="J114">
            <v>44657</v>
          </cell>
          <cell r="K114">
            <v>44658</v>
          </cell>
          <cell r="L114">
            <v>44657</v>
          </cell>
          <cell r="M114">
            <v>44658</v>
          </cell>
          <cell r="N114">
            <v>44657</v>
          </cell>
          <cell r="O114">
            <v>44658</v>
          </cell>
        </row>
        <row r="115">
          <cell r="A115" t="str">
            <v>A1085.T.06</v>
          </cell>
          <cell r="C115" t="str">
            <v>Submit to SO/ NEA [Rev 0]</v>
          </cell>
          <cell r="D115" t="str">
            <v>62</v>
          </cell>
          <cell r="F115" t="str">
            <v>100%</v>
          </cell>
          <cell r="G115" t="str">
            <v>100%</v>
          </cell>
          <cell r="H115" t="str">
            <v>08 Apr 2022</v>
          </cell>
          <cell r="I115" t="str">
            <v>22 Jun 2022</v>
          </cell>
          <cell r="J115">
            <v>44659</v>
          </cell>
          <cell r="K115">
            <v>44734</v>
          </cell>
          <cell r="L115">
            <v>44659</v>
          </cell>
          <cell r="M115">
            <v>44734</v>
          </cell>
          <cell r="N115">
            <v>44659</v>
          </cell>
          <cell r="O115">
            <v>44734</v>
          </cell>
        </row>
        <row r="116">
          <cell r="A116" t="str">
            <v>A1085.T.07</v>
          </cell>
          <cell r="C116" t="str">
            <v>Third round of model findings in slides [Rev 1a]</v>
          </cell>
          <cell r="D116" t="str">
            <v>133.11</v>
          </cell>
          <cell r="F116" t="str">
            <v>100%</v>
          </cell>
          <cell r="G116" t="str">
            <v>100%</v>
          </cell>
          <cell r="H116" t="str">
            <v>23 Jun 2022</v>
          </cell>
          <cell r="I116" t="str">
            <v>29 Nov 2022</v>
          </cell>
          <cell r="J116">
            <v>44735</v>
          </cell>
          <cell r="K116">
            <v>45343</v>
          </cell>
          <cell r="L116">
            <v>44735</v>
          </cell>
          <cell r="M116">
            <v>44894</v>
          </cell>
          <cell r="N116">
            <v>44735</v>
          </cell>
          <cell r="O116">
            <v>45343</v>
          </cell>
        </row>
        <row r="117">
          <cell r="A117" t="str">
            <v>A1085.T.08</v>
          </cell>
          <cell r="C117" t="str">
            <v>Comments on Rev 1a findings (allowing time for possible discussion and presentation)</v>
          </cell>
          <cell r="D117" t="str">
            <v>3</v>
          </cell>
          <cell r="F117" t="str">
            <v>100%</v>
          </cell>
          <cell r="G117" t="str">
            <v>100%</v>
          </cell>
          <cell r="H117" t="str">
            <v>30 Sep 2022</v>
          </cell>
          <cell r="I117" t="str">
            <v>03 Oct 2022</v>
          </cell>
          <cell r="J117">
            <v>44834</v>
          </cell>
          <cell r="K117">
            <v>44837</v>
          </cell>
          <cell r="L117">
            <v>44834</v>
          </cell>
          <cell r="M117">
            <v>44837</v>
          </cell>
          <cell r="N117">
            <v>44834</v>
          </cell>
          <cell r="O117">
            <v>44837</v>
          </cell>
        </row>
        <row r="118">
          <cell r="A118" t="str">
            <v>A1085.T.09</v>
          </cell>
          <cell r="C118" t="str">
            <v>Fourth round of model findings in slides [Rev 1b]</v>
          </cell>
          <cell r="D118" t="str">
            <v>7.11</v>
          </cell>
          <cell r="F118" t="str">
            <v>100%</v>
          </cell>
          <cell r="G118" t="str">
            <v>100%</v>
          </cell>
          <cell r="H118" t="str">
            <v>04 Oct 2022</v>
          </cell>
          <cell r="I118" t="str">
            <v>12 Oct 2022</v>
          </cell>
          <cell r="J118">
            <v>44838</v>
          </cell>
          <cell r="K118">
            <v>44846</v>
          </cell>
          <cell r="L118">
            <v>44838</v>
          </cell>
          <cell r="M118">
            <v>44846</v>
          </cell>
          <cell r="N118">
            <v>44838</v>
          </cell>
          <cell r="O118">
            <v>44846</v>
          </cell>
        </row>
        <row r="119">
          <cell r="A119" t="str">
            <v>A1085.T.10</v>
          </cell>
          <cell r="C119" t="str">
            <v>Submit to SO/ NEA [Rev 1]</v>
          </cell>
          <cell r="D119" t="str">
            <v>34.11</v>
          </cell>
          <cell r="F119" t="str">
            <v>100%</v>
          </cell>
          <cell r="G119" t="str">
            <v>100%</v>
          </cell>
          <cell r="H119" t="str">
            <v>13 Oct 2022</v>
          </cell>
          <cell r="I119" t="str">
            <v>05 Dec 2022</v>
          </cell>
          <cell r="J119">
            <v>44847</v>
          </cell>
          <cell r="K119">
            <v>44943</v>
          </cell>
          <cell r="L119">
            <v>44847</v>
          </cell>
          <cell r="M119">
            <v>44900</v>
          </cell>
          <cell r="N119">
            <v>44847</v>
          </cell>
          <cell r="O119">
            <v>44943</v>
          </cell>
        </row>
        <row r="120">
          <cell r="A120" t="str">
            <v>A1085.T.11</v>
          </cell>
          <cell r="C120" t="str">
            <v>Fifth round of model findings in slides [Rev 2a]</v>
          </cell>
          <cell r="D120" t="str">
            <v>1</v>
          </cell>
          <cell r="F120" t="str">
            <v>100%</v>
          </cell>
          <cell r="G120" t="str">
            <v>100%</v>
          </cell>
          <cell r="H120" t="str">
            <v>06 Dec 2022</v>
          </cell>
          <cell r="I120" t="str">
            <v>13 Dec 2022</v>
          </cell>
          <cell r="J120">
            <v>44944</v>
          </cell>
          <cell r="K120">
            <v>44944</v>
          </cell>
          <cell r="L120">
            <v>44901</v>
          </cell>
          <cell r="M120">
            <v>44908</v>
          </cell>
          <cell r="N120">
            <v>44944</v>
          </cell>
          <cell r="O120">
            <v>44944</v>
          </cell>
        </row>
        <row r="121">
          <cell r="A121" t="str">
            <v>A1085.T.12</v>
          </cell>
          <cell r="C121" t="str">
            <v>Comments on Rev 2a findings (allowing time for possible discussion and presentation)</v>
          </cell>
          <cell r="D121" t="str">
            <v>0</v>
          </cell>
          <cell r="F121" t="str">
            <v>100%</v>
          </cell>
          <cell r="G121" t="str">
            <v>100%</v>
          </cell>
          <cell r="H121" t="str">
            <v>14 Dec 2022</v>
          </cell>
          <cell r="I121" t="str">
            <v>23 Dec 2022</v>
          </cell>
          <cell r="J121">
            <v>44944</v>
          </cell>
          <cell r="K121">
            <v>44944</v>
          </cell>
          <cell r="L121">
            <v>44909</v>
          </cell>
          <cell r="M121">
            <v>44918</v>
          </cell>
          <cell r="N121">
            <v>44944</v>
          </cell>
          <cell r="O121">
            <v>44944</v>
          </cell>
        </row>
        <row r="122">
          <cell r="A122" t="str">
            <v>A1085.T.13</v>
          </cell>
          <cell r="C122" t="str">
            <v>Sixth round of model findings in slides [Rev 2b]</v>
          </cell>
          <cell r="D122" t="str">
            <v>0</v>
          </cell>
          <cell r="F122" t="str">
            <v>100%</v>
          </cell>
          <cell r="G122" t="str">
            <v>100%</v>
          </cell>
          <cell r="H122" t="str">
            <v>24 Dec 2022</v>
          </cell>
          <cell r="I122" t="str">
            <v>03 Jan 2023</v>
          </cell>
          <cell r="J122">
            <v>44944</v>
          </cell>
          <cell r="K122">
            <v>44944</v>
          </cell>
          <cell r="L122">
            <v>44919</v>
          </cell>
          <cell r="M122">
            <v>44929</v>
          </cell>
          <cell r="N122">
            <v>44944</v>
          </cell>
          <cell r="O122">
            <v>44944</v>
          </cell>
        </row>
        <row r="123">
          <cell r="A123" t="str">
            <v>A1085.T.14</v>
          </cell>
          <cell r="C123" t="str">
            <v>Submit to SO/ NEA [Rev 2]</v>
          </cell>
          <cell r="D123" t="str">
            <v>0</v>
          </cell>
          <cell r="F123" t="str">
            <v>100%</v>
          </cell>
          <cell r="G123" t="str">
            <v>100%</v>
          </cell>
          <cell r="H123" t="str">
            <v>04 Jan 2023</v>
          </cell>
          <cell r="I123" t="str">
            <v>14 Jan 2023</v>
          </cell>
          <cell r="J123">
            <v>44945</v>
          </cell>
          <cell r="K123">
            <v>45009</v>
          </cell>
          <cell r="L123">
            <v>44930</v>
          </cell>
          <cell r="M123">
            <v>44940</v>
          </cell>
          <cell r="N123">
            <v>44945</v>
          </cell>
          <cell r="O123">
            <v>45009</v>
          </cell>
        </row>
        <row r="124">
          <cell r="A124" t="str">
            <v>A1085.T.15</v>
          </cell>
          <cell r="C124" t="str">
            <v>Final Model findings report</v>
          </cell>
          <cell r="D124" t="str">
            <v>11</v>
          </cell>
          <cell r="F124" t="str">
            <v>100%</v>
          </cell>
          <cell r="G124" t="str">
            <v>100%</v>
          </cell>
          <cell r="H124" t="str">
            <v>16 Jan 2023</v>
          </cell>
          <cell r="I124" t="str">
            <v>21 Jan 2023</v>
          </cell>
          <cell r="J124">
            <v>45036</v>
          </cell>
          <cell r="K124">
            <v>45050</v>
          </cell>
          <cell r="L124">
            <v>44942</v>
          </cell>
          <cell r="M124">
            <v>44947</v>
          </cell>
          <cell r="N124">
            <v>45036</v>
          </cell>
          <cell r="O124">
            <v>45050</v>
          </cell>
        </row>
        <row r="125">
          <cell r="A125" t="str">
            <v>A1085.T.16</v>
          </cell>
          <cell r="C125" t="str">
            <v>Final presentation / confirmation on findings</v>
          </cell>
          <cell r="D125" t="str">
            <v>149</v>
          </cell>
          <cell r="F125" t="str">
            <v>100%</v>
          </cell>
          <cell r="G125" t="str">
            <v>100%</v>
          </cell>
          <cell r="H125" t="str">
            <v>25 Jan 2023</v>
          </cell>
          <cell r="I125" t="str">
            <v>03 Feb 2023</v>
          </cell>
          <cell r="J125">
            <v>45051</v>
          </cell>
          <cell r="K125">
            <v>45226</v>
          </cell>
          <cell r="L125">
            <v>44951</v>
          </cell>
          <cell r="M125">
            <v>44960</v>
          </cell>
          <cell r="N125">
            <v>45051</v>
          </cell>
          <cell r="O125">
            <v>45226</v>
          </cell>
        </row>
        <row r="126">
          <cell r="A126" t="str">
            <v>A1085.T.17</v>
          </cell>
          <cell r="C126" t="str">
            <v>Comments on final report</v>
          </cell>
          <cell r="D126" t="str">
            <v>49</v>
          </cell>
          <cell r="F126" t="str">
            <v>100%</v>
          </cell>
          <cell r="G126" t="str">
            <v>100%</v>
          </cell>
          <cell r="H126" t="str">
            <v>06 Feb 2023</v>
          </cell>
          <cell r="I126" t="str">
            <v>08 Feb 2023</v>
          </cell>
          <cell r="J126">
            <v>45231</v>
          </cell>
          <cell r="K126">
            <v>45289</v>
          </cell>
          <cell r="L126">
            <v>44963</v>
          </cell>
          <cell r="M126">
            <v>44965</v>
          </cell>
          <cell r="N126">
            <v>45231</v>
          </cell>
          <cell r="O126">
            <v>45289</v>
          </cell>
        </row>
        <row r="127">
          <cell r="A127" t="str">
            <v>A1085.T.18</v>
          </cell>
          <cell r="C127" t="str">
            <v>Submit &amp; Confirmation of final report by SO/NEA</v>
          </cell>
          <cell r="D127" t="str">
            <v>4</v>
          </cell>
          <cell r="F127" t="str">
            <v>100%</v>
          </cell>
          <cell r="G127" t="str">
            <v>100%</v>
          </cell>
          <cell r="H127" t="str">
            <v>09 Feb 2023</v>
          </cell>
          <cell r="I127" t="str">
            <v>13 Feb 2023</v>
          </cell>
          <cell r="J127">
            <v>45325</v>
          </cell>
          <cell r="K127">
            <v>45418</v>
          </cell>
          <cell r="L127">
            <v>44966</v>
          </cell>
          <cell r="M127">
            <v>44970</v>
          </cell>
          <cell r="N127">
            <v>45325</v>
          </cell>
          <cell r="O127">
            <v>45418</v>
          </cell>
        </row>
        <row r="128">
          <cell r="A128" t="str">
            <v>A1050</v>
          </cell>
          <cell r="C128" t="str">
            <v>Procurement</v>
          </cell>
          <cell r="D128" t="str">
            <v>1118</v>
          </cell>
          <cell r="F128" t="str">
            <v>92%</v>
          </cell>
          <cell r="G128" t="str">
            <v>100%</v>
          </cell>
          <cell r="H128" t="str">
            <v>05 Jul 2021</v>
          </cell>
          <cell r="I128" t="str">
            <v>10 Jun 2023</v>
          </cell>
          <cell r="J128">
            <v>44382</v>
          </cell>
          <cell r="K128">
            <v>45720</v>
          </cell>
          <cell r="L128">
            <v>44382</v>
          </cell>
          <cell r="M128">
            <v>45087</v>
          </cell>
          <cell r="N128">
            <v>44382</v>
          </cell>
          <cell r="O128" t="str">
            <v>NA</v>
          </cell>
        </row>
        <row r="129">
          <cell r="A129" t="str">
            <v>A1050.P.01</v>
          </cell>
          <cell r="C129" t="str">
            <v>Weighbridges</v>
          </cell>
          <cell r="D129" t="str">
            <v>108</v>
          </cell>
          <cell r="F129" t="str">
            <v>100%</v>
          </cell>
          <cell r="G129" t="str">
            <v>100%</v>
          </cell>
          <cell r="H129" t="str">
            <v>26 Aug 2022</v>
          </cell>
          <cell r="I129" t="str">
            <v>15 Mar 2023</v>
          </cell>
          <cell r="J129">
            <v>44799</v>
          </cell>
          <cell r="K129">
            <v>44928</v>
          </cell>
          <cell r="L129">
            <v>44799</v>
          </cell>
          <cell r="M129">
            <v>45000</v>
          </cell>
          <cell r="N129">
            <v>44799</v>
          </cell>
          <cell r="O129">
            <v>44928</v>
          </cell>
        </row>
        <row r="130">
          <cell r="A130" t="str">
            <v>A1050.P.02</v>
          </cell>
          <cell r="C130" t="str">
            <v>Furniture</v>
          </cell>
          <cell r="D130" t="str">
            <v>52</v>
          </cell>
          <cell r="F130" t="str">
            <v>95%</v>
          </cell>
          <cell r="G130" t="str">
            <v>100%</v>
          </cell>
          <cell r="H130" t="str">
            <v>14 Feb 2023</v>
          </cell>
          <cell r="I130" t="str">
            <v>15 Apr 2023</v>
          </cell>
          <cell r="J130">
            <v>45058</v>
          </cell>
          <cell r="K130">
            <v>45692</v>
          </cell>
          <cell r="L130">
            <v>44971</v>
          </cell>
          <cell r="M130">
            <v>45031</v>
          </cell>
          <cell r="N130">
            <v>45058</v>
          </cell>
          <cell r="O130" t="str">
            <v>NA</v>
          </cell>
        </row>
        <row r="131">
          <cell r="A131" t="str">
            <v>A1050.P.03</v>
          </cell>
          <cell r="C131" t="str">
            <v>UPS &amp; 19" Racks</v>
          </cell>
          <cell r="D131" t="str">
            <v>0</v>
          </cell>
          <cell r="F131" t="str">
            <v>100%</v>
          </cell>
          <cell r="G131" t="str">
            <v>100%</v>
          </cell>
          <cell r="H131" t="str">
            <v>18 Oct 2022</v>
          </cell>
          <cell r="I131" t="str">
            <v>16 Mar 2023</v>
          </cell>
          <cell r="J131">
            <v>44852</v>
          </cell>
          <cell r="K131">
            <v>45064</v>
          </cell>
          <cell r="L131">
            <v>44852</v>
          </cell>
          <cell r="M131">
            <v>45001</v>
          </cell>
          <cell r="N131">
            <v>44852</v>
          </cell>
          <cell r="O131">
            <v>45064</v>
          </cell>
        </row>
        <row r="132">
          <cell r="A132" t="str">
            <v>A1050.P.04</v>
          </cell>
          <cell r="C132" t="str">
            <v>Public Announcement System</v>
          </cell>
          <cell r="D132" t="str">
            <v>27</v>
          </cell>
          <cell r="F132" t="str">
            <v>85%</v>
          </cell>
          <cell r="G132" t="str">
            <v>100%</v>
          </cell>
          <cell r="H132" t="str">
            <v>05 Jul 2021</v>
          </cell>
          <cell r="I132" t="str">
            <v>16 Mar 2023</v>
          </cell>
          <cell r="J132">
            <v>44382</v>
          </cell>
          <cell r="K132">
            <v>45694</v>
          </cell>
          <cell r="L132">
            <v>44382</v>
          </cell>
          <cell r="M132">
            <v>45001</v>
          </cell>
          <cell r="N132">
            <v>44382</v>
          </cell>
          <cell r="O132" t="str">
            <v>NA</v>
          </cell>
        </row>
        <row r="133">
          <cell r="A133" t="str">
            <v>A1050.P.05</v>
          </cell>
          <cell r="C133" t="str">
            <v>Electrical &amp; Structured Cabling Services(By Others)</v>
          </cell>
          <cell r="D133" t="str">
            <v>27</v>
          </cell>
          <cell r="F133" t="str">
            <v>0%</v>
          </cell>
          <cell r="G133" t="str">
            <v>100%</v>
          </cell>
          <cell r="H133" t="str">
            <v>14 Feb 2023</v>
          </cell>
          <cell r="I133" t="str">
            <v>16 Mar 2023</v>
          </cell>
          <cell r="J133">
            <v>45689</v>
          </cell>
          <cell r="K133">
            <v>45720</v>
          </cell>
          <cell r="L133">
            <v>44971</v>
          </cell>
          <cell r="M133">
            <v>45001</v>
          </cell>
          <cell r="N133" t="str">
            <v>NA</v>
          </cell>
          <cell r="O133" t="str">
            <v>NA</v>
          </cell>
        </row>
        <row r="134">
          <cell r="A134" t="str">
            <v>A1050.P.06</v>
          </cell>
          <cell r="C134" t="str">
            <v>Data Processing Equipment</v>
          </cell>
          <cell r="D134" t="str">
            <v>27</v>
          </cell>
          <cell r="F134" t="str">
            <v>100%</v>
          </cell>
          <cell r="G134" t="str">
            <v>100%</v>
          </cell>
          <cell r="H134" t="str">
            <v>25 May 2022</v>
          </cell>
          <cell r="I134" t="str">
            <v>16 Mar 2023</v>
          </cell>
          <cell r="J134">
            <v>44706</v>
          </cell>
          <cell r="K134">
            <v>45659</v>
          </cell>
          <cell r="L134">
            <v>44706</v>
          </cell>
          <cell r="M134">
            <v>45001</v>
          </cell>
          <cell r="N134">
            <v>44706</v>
          </cell>
          <cell r="O134">
            <v>45659</v>
          </cell>
        </row>
        <row r="135">
          <cell r="A135" t="str">
            <v>A1050.P.07</v>
          </cell>
          <cell r="C135" t="str">
            <v>Data Communication Equipment</v>
          </cell>
          <cell r="D135" t="str">
            <v>27</v>
          </cell>
          <cell r="F135" t="str">
            <v>95%</v>
          </cell>
          <cell r="G135" t="str">
            <v>100%</v>
          </cell>
          <cell r="H135" t="str">
            <v>25 May 2022</v>
          </cell>
          <cell r="I135" t="str">
            <v>16 Mar 2023</v>
          </cell>
          <cell r="J135">
            <v>44706</v>
          </cell>
          <cell r="K135">
            <v>45691</v>
          </cell>
          <cell r="L135">
            <v>44706</v>
          </cell>
          <cell r="M135">
            <v>45001</v>
          </cell>
          <cell r="N135">
            <v>44706</v>
          </cell>
          <cell r="O135" t="str">
            <v>NA</v>
          </cell>
        </row>
        <row r="136">
          <cell r="A136" t="str">
            <v>A1050.P.08</v>
          </cell>
          <cell r="C136" t="str">
            <v>Station Integrated with Interfacing Controller for Receipt, Intercom, RFID, Biometrics, Traffic Lights, Vehicle Barrier</v>
          </cell>
          <cell r="D136" t="str">
            <v>27</v>
          </cell>
          <cell r="F136" t="str">
            <v>95%</v>
          </cell>
          <cell r="G136" t="str">
            <v>100%</v>
          </cell>
          <cell r="H136" t="str">
            <v>25 May 2022</v>
          </cell>
          <cell r="I136" t="str">
            <v>16 Mar 2023</v>
          </cell>
          <cell r="J136">
            <v>44706</v>
          </cell>
          <cell r="K136">
            <v>45691</v>
          </cell>
          <cell r="L136">
            <v>44706</v>
          </cell>
          <cell r="M136">
            <v>45001</v>
          </cell>
          <cell r="N136">
            <v>44706</v>
          </cell>
          <cell r="O136" t="str">
            <v>NA</v>
          </cell>
        </row>
        <row r="137">
          <cell r="A137" t="str">
            <v>A1050.P.09</v>
          </cell>
          <cell r="C137" t="str">
            <v>Video Recording System, LPR Hardware and Accessories</v>
          </cell>
          <cell r="D137" t="str">
            <v>36</v>
          </cell>
          <cell r="F137" t="str">
            <v>95%</v>
          </cell>
          <cell r="G137" t="str">
            <v>100%</v>
          </cell>
          <cell r="H137" t="str">
            <v>25 May 2022</v>
          </cell>
          <cell r="I137" t="str">
            <v>27 Mar 2023</v>
          </cell>
          <cell r="J137">
            <v>44706</v>
          </cell>
          <cell r="K137">
            <v>45691</v>
          </cell>
          <cell r="L137">
            <v>44706</v>
          </cell>
          <cell r="M137">
            <v>45012</v>
          </cell>
          <cell r="N137">
            <v>44706</v>
          </cell>
          <cell r="O137" t="str">
            <v>NA</v>
          </cell>
        </row>
        <row r="138">
          <cell r="A138" t="str">
            <v>A1050.P.10</v>
          </cell>
          <cell r="C138" t="str">
            <v>Zonal Detection System</v>
          </cell>
          <cell r="D138" t="str">
            <v>51</v>
          </cell>
          <cell r="F138" t="str">
            <v>85%</v>
          </cell>
          <cell r="G138" t="str">
            <v>100%</v>
          </cell>
          <cell r="H138" t="str">
            <v>25 May 2022</v>
          </cell>
          <cell r="I138" t="str">
            <v>14 Apr 2023</v>
          </cell>
          <cell r="J138">
            <v>44706</v>
          </cell>
          <cell r="K138">
            <v>45698</v>
          </cell>
          <cell r="L138">
            <v>44706</v>
          </cell>
          <cell r="M138">
            <v>45030</v>
          </cell>
          <cell r="N138">
            <v>44706</v>
          </cell>
          <cell r="O138" t="str">
            <v>NA</v>
          </cell>
        </row>
        <row r="139">
          <cell r="A139" t="str">
            <v>A1050.P.11</v>
          </cell>
          <cell r="C139" t="str">
            <v>Radioactive Devices</v>
          </cell>
          <cell r="D139" t="str">
            <v>52</v>
          </cell>
          <cell r="F139" t="str">
            <v>100%</v>
          </cell>
          <cell r="G139" t="str">
            <v>100%</v>
          </cell>
          <cell r="H139" t="str">
            <v>29 Aug 2022</v>
          </cell>
          <cell r="I139" t="str">
            <v>15 Apr 2023</v>
          </cell>
          <cell r="J139">
            <v>44802</v>
          </cell>
          <cell r="K139">
            <v>45362</v>
          </cell>
          <cell r="L139">
            <v>44802</v>
          </cell>
          <cell r="M139">
            <v>45031</v>
          </cell>
          <cell r="N139">
            <v>44802</v>
          </cell>
          <cell r="O139">
            <v>45362</v>
          </cell>
        </row>
        <row r="140">
          <cell r="A140" t="str">
            <v>A1050.P.12</v>
          </cell>
          <cell r="C140" t="str">
            <v>Heat Detection Devices</v>
          </cell>
          <cell r="D140" t="str">
            <v>90</v>
          </cell>
          <cell r="F140" t="str">
            <v>100%</v>
          </cell>
          <cell r="G140" t="str">
            <v>100%</v>
          </cell>
          <cell r="H140" t="str">
            <v>09 Aug 2022</v>
          </cell>
          <cell r="I140" t="str">
            <v>10 Mar 2023</v>
          </cell>
          <cell r="J140">
            <v>44782</v>
          </cell>
          <cell r="K140">
            <v>44914</v>
          </cell>
          <cell r="L140">
            <v>44782</v>
          </cell>
          <cell r="M140">
            <v>44995</v>
          </cell>
          <cell r="N140">
            <v>44782</v>
          </cell>
          <cell r="O140">
            <v>44914</v>
          </cell>
        </row>
        <row r="141">
          <cell r="A141" t="str">
            <v>A1050.P.13</v>
          </cell>
          <cell r="C141" t="str">
            <v>Ash Truck Positioning and Empty/Full Detection Devices</v>
          </cell>
          <cell r="D141" t="str">
            <v>52</v>
          </cell>
          <cell r="F141" t="str">
            <v>80%</v>
          </cell>
          <cell r="G141" t="str">
            <v>100%</v>
          </cell>
          <cell r="H141" t="str">
            <v>25 May 2022</v>
          </cell>
          <cell r="I141" t="str">
            <v>15 Apr 2023</v>
          </cell>
          <cell r="J141">
            <v>44706</v>
          </cell>
          <cell r="K141">
            <v>45701</v>
          </cell>
          <cell r="L141">
            <v>44706</v>
          </cell>
          <cell r="M141">
            <v>45031</v>
          </cell>
          <cell r="N141">
            <v>44706</v>
          </cell>
          <cell r="O141" t="str">
            <v>NA</v>
          </cell>
        </row>
        <row r="142">
          <cell r="A142" t="str">
            <v>A1050.P.14</v>
          </cell>
          <cell r="C142" t="str">
            <v>Purchase and Delivery of Casted Items(Others) -Batch 1</v>
          </cell>
          <cell r="D142" t="str">
            <v>70</v>
          </cell>
          <cell r="F142" t="str">
            <v>100%</v>
          </cell>
          <cell r="G142" t="str">
            <v>100%</v>
          </cell>
          <cell r="H142" t="str">
            <v>09 Jun 2023</v>
          </cell>
          <cell r="I142" t="str">
            <v>10 Jun 2023</v>
          </cell>
          <cell r="J142">
            <v>44963</v>
          </cell>
          <cell r="K142">
            <v>45047</v>
          </cell>
          <cell r="L142">
            <v>45086</v>
          </cell>
          <cell r="M142">
            <v>45087</v>
          </cell>
          <cell r="N142">
            <v>44963</v>
          </cell>
          <cell r="O142">
            <v>45047</v>
          </cell>
        </row>
        <row r="143">
          <cell r="A143" t="str">
            <v>A1050.P.15</v>
          </cell>
          <cell r="C143" t="str">
            <v>Purchase and Delivery of Casted Items(Others) - Batch 2</v>
          </cell>
          <cell r="D143" t="str">
            <v>77</v>
          </cell>
          <cell r="F143" t="str">
            <v>100%</v>
          </cell>
          <cell r="G143" t="str">
            <v>100%</v>
          </cell>
          <cell r="H143" t="str">
            <v>10 Jun 2023</v>
          </cell>
          <cell r="I143" t="str">
            <v>10 Jun 2023</v>
          </cell>
          <cell r="J143">
            <v>45103</v>
          </cell>
          <cell r="K143">
            <v>45194</v>
          </cell>
          <cell r="L143">
            <v>45087</v>
          </cell>
          <cell r="M143">
            <v>45087</v>
          </cell>
          <cell r="N143">
            <v>45103</v>
          </cell>
          <cell r="O143">
            <v>45194</v>
          </cell>
        </row>
        <row r="144">
          <cell r="C144" t="str">
            <v>Manufacture / Fabrication / Delivery</v>
          </cell>
          <cell r="D144" t="str">
            <v>743</v>
          </cell>
          <cell r="F144" t="str">
            <v>34%</v>
          </cell>
          <cell r="G144" t="str">
            <v>100%</v>
          </cell>
          <cell r="H144" t="str">
            <v>11 Mar 2023</v>
          </cell>
          <cell r="I144" t="str">
            <v>02 Jan 2024</v>
          </cell>
          <cell r="J144">
            <v>45065</v>
          </cell>
          <cell r="K144">
            <v>45944</v>
          </cell>
          <cell r="L144">
            <v>44996</v>
          </cell>
          <cell r="M144">
            <v>45293</v>
          </cell>
          <cell r="N144">
            <v>45065</v>
          </cell>
          <cell r="O144" t="str">
            <v>NA</v>
          </cell>
        </row>
        <row r="145">
          <cell r="A145" t="str">
            <v>A1060</v>
          </cell>
          <cell r="C145" t="str">
            <v>Manufacture Commence Data (Commence Date should be notified by KSPL)</v>
          </cell>
          <cell r="D145" t="str">
            <v>631</v>
          </cell>
          <cell r="F145" t="str">
            <v>50%</v>
          </cell>
          <cell r="G145" t="str">
            <v>100%</v>
          </cell>
          <cell r="H145" t="str">
            <v>11 Mar 2023</v>
          </cell>
          <cell r="I145" t="str">
            <v>25 Aug 2023</v>
          </cell>
          <cell r="J145">
            <v>45065</v>
          </cell>
          <cell r="K145">
            <v>45813</v>
          </cell>
          <cell r="L145">
            <v>44996</v>
          </cell>
          <cell r="M145">
            <v>45163</v>
          </cell>
          <cell r="N145">
            <v>45065</v>
          </cell>
          <cell r="O145" t="str">
            <v>NA</v>
          </cell>
        </row>
        <row r="146">
          <cell r="A146" t="str">
            <v>A1060.M.01</v>
          </cell>
          <cell r="C146" t="str">
            <v>Weighbridges</v>
          </cell>
          <cell r="D146" t="str">
            <v>54</v>
          </cell>
          <cell r="F146" t="str">
            <v>100%</v>
          </cell>
          <cell r="G146" t="str">
            <v>100%</v>
          </cell>
          <cell r="H146" t="str">
            <v>16 Mar 2023</v>
          </cell>
          <cell r="I146" t="str">
            <v>20 May 2023</v>
          </cell>
          <cell r="J146">
            <v>45245</v>
          </cell>
          <cell r="K146">
            <v>45567</v>
          </cell>
          <cell r="L146">
            <v>45001</v>
          </cell>
          <cell r="M146">
            <v>45066</v>
          </cell>
          <cell r="N146">
            <v>45245</v>
          </cell>
          <cell r="O146">
            <v>45567</v>
          </cell>
        </row>
        <row r="147">
          <cell r="A147" t="str">
            <v>A1060.M.02</v>
          </cell>
          <cell r="C147" t="str">
            <v>Furniture</v>
          </cell>
          <cell r="D147" t="str">
            <v>27</v>
          </cell>
          <cell r="F147" t="str">
            <v>0%</v>
          </cell>
          <cell r="G147" t="str">
            <v>100%</v>
          </cell>
          <cell r="H147" t="str">
            <v>17 Apr 2023</v>
          </cell>
          <cell r="I147" t="str">
            <v>19 May 2023</v>
          </cell>
          <cell r="J147">
            <v>45692</v>
          </cell>
          <cell r="K147">
            <v>45723</v>
          </cell>
          <cell r="L147">
            <v>45033</v>
          </cell>
          <cell r="M147">
            <v>45065</v>
          </cell>
          <cell r="N147" t="str">
            <v>NA</v>
          </cell>
          <cell r="O147" t="str">
            <v>NA</v>
          </cell>
        </row>
        <row r="148">
          <cell r="A148" t="str">
            <v>A1060.M.03</v>
          </cell>
          <cell r="C148" t="str">
            <v>UPS &amp; 19" Racks</v>
          </cell>
          <cell r="D148" t="str">
            <v>54</v>
          </cell>
          <cell r="F148" t="str">
            <v>80%</v>
          </cell>
          <cell r="G148" t="str">
            <v>100%</v>
          </cell>
          <cell r="H148" t="str">
            <v>17 Mar 2023</v>
          </cell>
          <cell r="I148" t="str">
            <v>22 May 2023</v>
          </cell>
          <cell r="J148">
            <v>45065</v>
          </cell>
          <cell r="K148">
            <v>45701</v>
          </cell>
          <cell r="L148">
            <v>45002</v>
          </cell>
          <cell r="M148">
            <v>45068</v>
          </cell>
          <cell r="N148">
            <v>45065</v>
          </cell>
          <cell r="O148" t="str">
            <v>NA</v>
          </cell>
        </row>
        <row r="149">
          <cell r="A149" t="str">
            <v>A1060.M.04</v>
          </cell>
          <cell r="C149" t="str">
            <v>Public Announcement System</v>
          </cell>
          <cell r="D149" t="str">
            <v>35</v>
          </cell>
          <cell r="F149" t="str">
            <v>50%</v>
          </cell>
          <cell r="G149" t="str">
            <v>100%</v>
          </cell>
          <cell r="H149" t="str">
            <v>17 Mar 2023</v>
          </cell>
          <cell r="I149" t="str">
            <v>28 Apr 2023</v>
          </cell>
          <cell r="J149">
            <v>45603</v>
          </cell>
          <cell r="K149">
            <v>45714</v>
          </cell>
          <cell r="L149">
            <v>45002</v>
          </cell>
          <cell r="M149">
            <v>45044</v>
          </cell>
          <cell r="N149">
            <v>45603</v>
          </cell>
          <cell r="O149" t="str">
            <v>NA</v>
          </cell>
        </row>
        <row r="150">
          <cell r="A150" t="str">
            <v>A1060.M.05</v>
          </cell>
          <cell r="C150" t="str">
            <v>Electrical &amp; Structured Cabling Services</v>
          </cell>
          <cell r="D150" t="str">
            <v>80</v>
          </cell>
          <cell r="F150" t="str">
            <v>0%</v>
          </cell>
          <cell r="G150" t="str">
            <v>100%</v>
          </cell>
          <cell r="H150" t="str">
            <v>17 Mar 2023</v>
          </cell>
          <cell r="I150" t="str">
            <v>21 Jun 2023</v>
          </cell>
          <cell r="J150">
            <v>45721</v>
          </cell>
          <cell r="K150">
            <v>45813</v>
          </cell>
          <cell r="L150">
            <v>45002</v>
          </cell>
          <cell r="M150">
            <v>45098</v>
          </cell>
          <cell r="N150" t="str">
            <v>NA</v>
          </cell>
          <cell r="O150" t="str">
            <v>NA</v>
          </cell>
        </row>
        <row r="151">
          <cell r="A151" t="str">
            <v>A1060.M.06</v>
          </cell>
          <cell r="C151" t="str">
            <v>Data Processing Equipment</v>
          </cell>
          <cell r="D151" t="str">
            <v>54</v>
          </cell>
          <cell r="F151" t="str">
            <v>40%</v>
          </cell>
          <cell r="G151" t="str">
            <v>100%</v>
          </cell>
          <cell r="H151" t="str">
            <v>17 Mar 2023</v>
          </cell>
          <cell r="I151" t="str">
            <v>22 May 2023</v>
          </cell>
          <cell r="J151">
            <v>45481</v>
          </cell>
          <cell r="K151">
            <v>45727</v>
          </cell>
          <cell r="L151">
            <v>45002</v>
          </cell>
          <cell r="M151">
            <v>45068</v>
          </cell>
          <cell r="N151">
            <v>45481</v>
          </cell>
          <cell r="O151" t="str">
            <v>NA</v>
          </cell>
        </row>
        <row r="152">
          <cell r="A152" t="str">
            <v>A1060.M.07</v>
          </cell>
          <cell r="C152" t="str">
            <v>Data Communication Equipment</v>
          </cell>
          <cell r="D152" t="str">
            <v>54</v>
          </cell>
          <cell r="F152" t="str">
            <v>40%</v>
          </cell>
          <cell r="G152" t="str">
            <v>100%</v>
          </cell>
          <cell r="H152" t="str">
            <v>02 May 2023</v>
          </cell>
          <cell r="I152" t="str">
            <v>04 Jul 2023</v>
          </cell>
          <cell r="J152">
            <v>45521</v>
          </cell>
          <cell r="K152">
            <v>45751</v>
          </cell>
          <cell r="L152">
            <v>45048</v>
          </cell>
          <cell r="M152">
            <v>45111</v>
          </cell>
          <cell r="N152">
            <v>45521</v>
          </cell>
          <cell r="O152" t="str">
            <v>NA</v>
          </cell>
        </row>
        <row r="153">
          <cell r="A153" t="str">
            <v>A1060.M.08</v>
          </cell>
          <cell r="C153" t="str">
            <v>Station Integrated with Interfacing Controller for Receipt, Intercom, RFID, Biometrics, Traffic Lights, Vehicle Barrier</v>
          </cell>
          <cell r="D153" t="str">
            <v>80</v>
          </cell>
          <cell r="F153" t="str">
            <v>60%</v>
          </cell>
          <cell r="G153" t="str">
            <v>100%</v>
          </cell>
          <cell r="H153" t="str">
            <v>17 Mar 2023</v>
          </cell>
          <cell r="I153" t="str">
            <v>21 Jun 2023</v>
          </cell>
          <cell r="J153">
            <v>45478</v>
          </cell>
          <cell r="K153">
            <v>45728</v>
          </cell>
          <cell r="L153">
            <v>45002</v>
          </cell>
          <cell r="M153">
            <v>45098</v>
          </cell>
          <cell r="N153">
            <v>45478</v>
          </cell>
          <cell r="O153" t="str">
            <v>NA</v>
          </cell>
        </row>
        <row r="154">
          <cell r="A154" t="str">
            <v>A1060.M.09</v>
          </cell>
          <cell r="C154" t="str">
            <v>Video Recording System, LPR Hardware and Accessories</v>
          </cell>
          <cell r="D154" t="str">
            <v>63</v>
          </cell>
          <cell r="F154" t="str">
            <v>70%</v>
          </cell>
          <cell r="G154" t="str">
            <v>100%</v>
          </cell>
          <cell r="H154" t="str">
            <v>28 Mar 2023</v>
          </cell>
          <cell r="I154" t="str">
            <v>12 Jun 2023</v>
          </cell>
          <cell r="J154">
            <v>45485</v>
          </cell>
          <cell r="K154">
            <v>45713</v>
          </cell>
          <cell r="L154">
            <v>45013</v>
          </cell>
          <cell r="M154">
            <v>45089</v>
          </cell>
          <cell r="N154">
            <v>45485</v>
          </cell>
          <cell r="O154" t="str">
            <v>NA</v>
          </cell>
        </row>
        <row r="155">
          <cell r="A155" t="str">
            <v>A1060.M.10</v>
          </cell>
          <cell r="C155" t="str">
            <v>Zonal Detection System</v>
          </cell>
          <cell r="D155" t="str">
            <v>80</v>
          </cell>
          <cell r="F155" t="str">
            <v>30%</v>
          </cell>
          <cell r="G155" t="str">
            <v>100%</v>
          </cell>
          <cell r="H155" t="str">
            <v>23 May 2023</v>
          </cell>
          <cell r="I155" t="str">
            <v>25 Aug 2023</v>
          </cell>
          <cell r="J155">
            <v>45523</v>
          </cell>
          <cell r="K155">
            <v>45763</v>
          </cell>
          <cell r="L155">
            <v>45069</v>
          </cell>
          <cell r="M155">
            <v>45163</v>
          </cell>
          <cell r="N155">
            <v>45523</v>
          </cell>
          <cell r="O155" t="str">
            <v>NA</v>
          </cell>
        </row>
        <row r="156">
          <cell r="A156" t="str">
            <v>A1060.M.11</v>
          </cell>
          <cell r="C156" t="str">
            <v>Radioactive Devices</v>
          </cell>
          <cell r="D156" t="str">
            <v>36</v>
          </cell>
          <cell r="F156" t="str">
            <v>90%</v>
          </cell>
          <cell r="G156" t="str">
            <v>100%</v>
          </cell>
          <cell r="H156" t="str">
            <v>17 Apr 2023</v>
          </cell>
          <cell r="I156" t="str">
            <v>30 May 2023</v>
          </cell>
          <cell r="J156">
            <v>45474</v>
          </cell>
          <cell r="K156">
            <v>45693</v>
          </cell>
          <cell r="L156">
            <v>45033</v>
          </cell>
          <cell r="M156">
            <v>45076</v>
          </cell>
          <cell r="N156">
            <v>45474</v>
          </cell>
          <cell r="O156" t="str">
            <v>NA</v>
          </cell>
        </row>
        <row r="157">
          <cell r="A157" t="str">
            <v>A1060.M.12</v>
          </cell>
          <cell r="C157" t="str">
            <v>Heat Detection Devices</v>
          </cell>
          <cell r="D157" t="str">
            <v>45</v>
          </cell>
          <cell r="F157" t="str">
            <v>80%</v>
          </cell>
          <cell r="G157" t="str">
            <v>100%</v>
          </cell>
          <cell r="H157" t="str">
            <v>11 Mar 2023</v>
          </cell>
          <cell r="I157" t="str">
            <v>05 May 2023</v>
          </cell>
          <cell r="J157">
            <v>45474</v>
          </cell>
          <cell r="K157">
            <v>45699</v>
          </cell>
          <cell r="L157">
            <v>44996</v>
          </cell>
          <cell r="M157">
            <v>45051</v>
          </cell>
          <cell r="N157">
            <v>45474</v>
          </cell>
          <cell r="O157" t="str">
            <v>NA</v>
          </cell>
        </row>
        <row r="158">
          <cell r="A158" t="str">
            <v>A1060.M.13</v>
          </cell>
          <cell r="C158" t="str">
            <v>Ash Truck Positioning and Empty/Full Detection Devices</v>
          </cell>
          <cell r="D158" t="str">
            <v>54</v>
          </cell>
          <cell r="F158" t="str">
            <v>35%</v>
          </cell>
          <cell r="G158" t="str">
            <v>100%</v>
          </cell>
          <cell r="H158" t="str">
            <v>17 Apr 2023</v>
          </cell>
          <cell r="I158" t="str">
            <v>20 Jun 2023</v>
          </cell>
          <cell r="J158">
            <v>45495</v>
          </cell>
          <cell r="K158">
            <v>45742</v>
          </cell>
          <cell r="L158">
            <v>45033</v>
          </cell>
          <cell r="M158">
            <v>45097</v>
          </cell>
          <cell r="N158">
            <v>45495</v>
          </cell>
          <cell r="O158" t="str">
            <v>NA</v>
          </cell>
        </row>
        <row r="159">
          <cell r="A159" t="str">
            <v>A1070</v>
          </cell>
          <cell r="C159" t="str">
            <v>Completion of FAT for Weighbridge System</v>
          </cell>
          <cell r="D159" t="str">
            <v>55</v>
          </cell>
          <cell r="F159" t="str">
            <v>0%</v>
          </cell>
          <cell r="G159" t="str">
            <v>100%</v>
          </cell>
          <cell r="H159" t="str">
            <v>05 Jul 2023</v>
          </cell>
          <cell r="I159" t="str">
            <v>24 Oct 2023</v>
          </cell>
          <cell r="J159">
            <v>45814</v>
          </cell>
          <cell r="K159">
            <v>45877</v>
          </cell>
          <cell r="L159">
            <v>45112</v>
          </cell>
          <cell r="M159">
            <v>45223</v>
          </cell>
          <cell r="N159" t="str">
            <v>NA</v>
          </cell>
          <cell r="O159" t="str">
            <v>NA</v>
          </cell>
        </row>
        <row r="160">
          <cell r="A160" t="str">
            <v>A1070.F.01</v>
          </cell>
          <cell r="C160" t="str">
            <v>FAT for Weighbridge</v>
          </cell>
          <cell r="D160" t="str">
            <v>51</v>
          </cell>
          <cell r="F160" t="str">
            <v>0%</v>
          </cell>
          <cell r="G160" t="str">
            <v>100%</v>
          </cell>
          <cell r="H160" t="str">
            <v>24 Jul 2023</v>
          </cell>
          <cell r="I160" t="str">
            <v>21 Sep 2023</v>
          </cell>
          <cell r="J160">
            <v>45814</v>
          </cell>
          <cell r="K160">
            <v>45873</v>
          </cell>
          <cell r="L160">
            <v>45131</v>
          </cell>
          <cell r="M160">
            <v>45190</v>
          </cell>
          <cell r="N160" t="str">
            <v>NA</v>
          </cell>
          <cell r="O160" t="str">
            <v>NA</v>
          </cell>
        </row>
        <row r="161">
          <cell r="A161" t="str">
            <v>A1070.F.02</v>
          </cell>
          <cell r="C161" t="str">
            <v>FAT for Zonal Detection</v>
          </cell>
          <cell r="D161" t="str">
            <v>45</v>
          </cell>
          <cell r="F161" t="str">
            <v>0%</v>
          </cell>
          <cell r="G161" t="str">
            <v>100%</v>
          </cell>
          <cell r="H161" t="str">
            <v>26 Aug 2023</v>
          </cell>
          <cell r="I161" t="str">
            <v>17 Oct 2023</v>
          </cell>
          <cell r="J161">
            <v>45814</v>
          </cell>
          <cell r="K161">
            <v>45866</v>
          </cell>
          <cell r="L161">
            <v>45164</v>
          </cell>
          <cell r="M161">
            <v>45216</v>
          </cell>
          <cell r="N161" t="str">
            <v>NA</v>
          </cell>
          <cell r="O161" t="str">
            <v>NA</v>
          </cell>
        </row>
        <row r="162">
          <cell r="A162" t="str">
            <v>A1070.F.03</v>
          </cell>
          <cell r="C162" t="str">
            <v>FAT for Ash Truck Positioning and Empty/Full Detection Devices</v>
          </cell>
          <cell r="D162" t="str">
            <v>45</v>
          </cell>
          <cell r="F162" t="str">
            <v>0%</v>
          </cell>
          <cell r="G162" t="str">
            <v>100%</v>
          </cell>
          <cell r="H162" t="str">
            <v>05 Jul 2023</v>
          </cell>
          <cell r="I162" t="str">
            <v>26 Aug 2023</v>
          </cell>
          <cell r="J162">
            <v>45814</v>
          </cell>
          <cell r="K162">
            <v>45866</v>
          </cell>
          <cell r="L162">
            <v>45112</v>
          </cell>
          <cell r="M162">
            <v>45164</v>
          </cell>
          <cell r="N162" t="str">
            <v>NA</v>
          </cell>
          <cell r="O162" t="str">
            <v>NA</v>
          </cell>
        </row>
        <row r="163">
          <cell r="A163" t="str">
            <v>A1070.F.04</v>
          </cell>
          <cell r="C163" t="str">
            <v>Preparation of Holding Area for weighbridge platforms</v>
          </cell>
          <cell r="D163" t="str">
            <v>4</v>
          </cell>
          <cell r="F163" t="str">
            <v>0%</v>
          </cell>
          <cell r="G163" t="str">
            <v>100%</v>
          </cell>
          <cell r="H163" t="str">
            <v>20 Oct 2023</v>
          </cell>
          <cell r="I163" t="str">
            <v>24 Oct 2023</v>
          </cell>
          <cell r="J163">
            <v>45874</v>
          </cell>
          <cell r="K163">
            <v>45877</v>
          </cell>
          <cell r="L163">
            <v>45219</v>
          </cell>
          <cell r="M163">
            <v>45223</v>
          </cell>
          <cell r="N163" t="str">
            <v>NA</v>
          </cell>
          <cell r="O163" t="str">
            <v>NA</v>
          </cell>
        </row>
        <row r="164">
          <cell r="A164" t="str">
            <v>A1080</v>
          </cell>
          <cell r="C164" t="str">
            <v>Delivery to Site</v>
          </cell>
          <cell r="D164" t="str">
            <v>61</v>
          </cell>
          <cell r="F164" t="str">
            <v>0%</v>
          </cell>
          <cell r="G164" t="str">
            <v>100%</v>
          </cell>
          <cell r="H164" t="str">
            <v>22 Sep 2023</v>
          </cell>
          <cell r="I164" t="str">
            <v>02 Jan 2024</v>
          </cell>
          <cell r="J164">
            <v>45874</v>
          </cell>
          <cell r="K164">
            <v>45944</v>
          </cell>
          <cell r="L164">
            <v>45191</v>
          </cell>
          <cell r="M164">
            <v>45293</v>
          </cell>
          <cell r="N164" t="str">
            <v>NA</v>
          </cell>
          <cell r="O164" t="str">
            <v>NA</v>
          </cell>
        </row>
        <row r="165">
          <cell r="A165" t="str">
            <v>A1080.D.00</v>
          </cell>
          <cell r="C165" t="str">
            <v>Architectural and Building Service Works</v>
          </cell>
          <cell r="D165" t="str">
            <v>0.89</v>
          </cell>
          <cell r="F165" t="str">
            <v>0%</v>
          </cell>
          <cell r="G165" t="str">
            <v>100%</v>
          </cell>
          <cell r="H165" t="str">
            <v>22 Sep 2023</v>
          </cell>
          <cell r="I165" t="str">
            <v>22 Sep 2023</v>
          </cell>
          <cell r="J165">
            <v>45874</v>
          </cell>
          <cell r="K165">
            <v>45874</v>
          </cell>
          <cell r="L165">
            <v>45191</v>
          </cell>
          <cell r="M165">
            <v>45191</v>
          </cell>
          <cell r="N165" t="str">
            <v>NA</v>
          </cell>
          <cell r="O165" t="str">
            <v>NA</v>
          </cell>
        </row>
        <row r="166">
          <cell r="A166" t="str">
            <v>A1080.D.01</v>
          </cell>
          <cell r="C166" t="str">
            <v>Weighbridge System delivery</v>
          </cell>
          <cell r="D166" t="str">
            <v>57</v>
          </cell>
          <cell r="F166" t="str">
            <v>0%</v>
          </cell>
          <cell r="G166" t="str">
            <v>100%</v>
          </cell>
          <cell r="H166" t="str">
            <v>25 Oct 2023</v>
          </cell>
          <cell r="I166" t="str">
            <v>02 Jan 2024</v>
          </cell>
          <cell r="J166">
            <v>45878</v>
          </cell>
          <cell r="K166">
            <v>45944</v>
          </cell>
          <cell r="L166">
            <v>45224</v>
          </cell>
          <cell r="M166">
            <v>45293</v>
          </cell>
          <cell r="N166" t="str">
            <v>NA</v>
          </cell>
          <cell r="O166" t="str">
            <v>NA</v>
          </cell>
        </row>
        <row r="167">
          <cell r="A167" t="str">
            <v>A1080.D.02</v>
          </cell>
          <cell r="C167" t="str">
            <v>Other Weighbridge Equipments</v>
          </cell>
          <cell r="D167" t="str">
            <v>57</v>
          </cell>
          <cell r="F167" t="str">
            <v>0%</v>
          </cell>
          <cell r="G167" t="str">
            <v>100%</v>
          </cell>
          <cell r="H167" t="str">
            <v>25 Oct 2023</v>
          </cell>
          <cell r="I167" t="str">
            <v>02 Jan 2024</v>
          </cell>
          <cell r="J167">
            <v>45878</v>
          </cell>
          <cell r="K167">
            <v>45944</v>
          </cell>
          <cell r="L167">
            <v>45224</v>
          </cell>
          <cell r="M167">
            <v>45293</v>
          </cell>
          <cell r="N167" t="str">
            <v>NA</v>
          </cell>
          <cell r="O167" t="str">
            <v>NA</v>
          </cell>
        </row>
        <row r="168">
          <cell r="A168" t="str">
            <v>A1080.D.03</v>
          </cell>
          <cell r="C168" t="str">
            <v>Weighbridge Platform</v>
          </cell>
          <cell r="D168" t="str">
            <v>57</v>
          </cell>
          <cell r="F168" t="str">
            <v>0%</v>
          </cell>
          <cell r="G168" t="str">
            <v>100%</v>
          </cell>
          <cell r="H168" t="str">
            <v>25 Oct 2023</v>
          </cell>
          <cell r="I168" t="str">
            <v>02 Jan 2024</v>
          </cell>
          <cell r="J168">
            <v>45878</v>
          </cell>
          <cell r="K168">
            <v>45944</v>
          </cell>
          <cell r="L168">
            <v>45224</v>
          </cell>
          <cell r="M168">
            <v>45293</v>
          </cell>
          <cell r="N168" t="str">
            <v>NA</v>
          </cell>
          <cell r="O168" t="str">
            <v>NA</v>
          </cell>
        </row>
        <row r="169">
          <cell r="A169" t="str">
            <v>A1080.D.04</v>
          </cell>
          <cell r="C169" t="str">
            <v>Zonal Detection System delivery</v>
          </cell>
          <cell r="D169" t="str">
            <v>36</v>
          </cell>
          <cell r="F169" t="str">
            <v>0%</v>
          </cell>
          <cell r="G169" t="str">
            <v>100%</v>
          </cell>
          <cell r="H169" t="str">
            <v>25 Oct 2023</v>
          </cell>
          <cell r="I169" t="str">
            <v>06 Dec 2023</v>
          </cell>
          <cell r="J169">
            <v>45878</v>
          </cell>
          <cell r="K169">
            <v>45919</v>
          </cell>
          <cell r="L169">
            <v>45224</v>
          </cell>
          <cell r="M169">
            <v>45266</v>
          </cell>
          <cell r="N169" t="str">
            <v>NA</v>
          </cell>
          <cell r="O169" t="str">
            <v>NA</v>
          </cell>
        </row>
        <row r="170">
          <cell r="A170" t="str">
            <v>A1080.D.05</v>
          </cell>
          <cell r="C170" t="str">
            <v>Ash Truck Positioning and Empty/Full Detection Devices delivery</v>
          </cell>
          <cell r="D170" t="str">
            <v>36</v>
          </cell>
          <cell r="F170" t="str">
            <v>0%</v>
          </cell>
          <cell r="G170" t="str">
            <v>100%</v>
          </cell>
          <cell r="H170" t="str">
            <v>25 Oct 2023</v>
          </cell>
          <cell r="I170" t="str">
            <v>06 Dec 2023</v>
          </cell>
          <cell r="J170">
            <v>45878</v>
          </cell>
          <cell r="K170">
            <v>45919</v>
          </cell>
          <cell r="L170">
            <v>45224</v>
          </cell>
          <cell r="M170">
            <v>45266</v>
          </cell>
          <cell r="N170" t="str">
            <v>NA</v>
          </cell>
          <cell r="O170" t="str">
            <v>NA</v>
          </cell>
        </row>
        <row r="171">
          <cell r="A171" t="str">
            <v>A1090</v>
          </cell>
          <cell r="C171" t="str">
            <v>Installation</v>
          </cell>
          <cell r="D171" t="str">
            <v>100</v>
          </cell>
          <cell r="F171" t="str">
            <v>0%</v>
          </cell>
          <cell r="G171" t="str">
            <v>100%</v>
          </cell>
          <cell r="H171" t="str">
            <v>03 Jan 2024</v>
          </cell>
          <cell r="I171" t="str">
            <v>15 May 2024</v>
          </cell>
          <cell r="J171">
            <v>45945</v>
          </cell>
          <cell r="K171">
            <v>46060</v>
          </cell>
          <cell r="L171">
            <v>45294</v>
          </cell>
          <cell r="M171">
            <v>45427</v>
          </cell>
          <cell r="N171" t="str">
            <v>NA</v>
          </cell>
          <cell r="O171" t="str">
            <v>NA</v>
          </cell>
        </row>
        <row r="172">
          <cell r="A172" t="str">
            <v>A1090.I.01</v>
          </cell>
          <cell r="C172" t="str">
            <v>Weighbridge Foundation &amp; Control Room ready for Installation</v>
          </cell>
          <cell r="D172" t="str">
            <v>3</v>
          </cell>
          <cell r="F172" t="str">
            <v>0%</v>
          </cell>
          <cell r="G172" t="str">
            <v>100%</v>
          </cell>
          <cell r="H172" t="str">
            <v>03 Jan 2024</v>
          </cell>
          <cell r="I172" t="str">
            <v>05 Jan 2024</v>
          </cell>
          <cell r="J172">
            <v>45945</v>
          </cell>
          <cell r="K172">
            <v>45947</v>
          </cell>
          <cell r="L172">
            <v>45294</v>
          </cell>
          <cell r="M172">
            <v>45296</v>
          </cell>
          <cell r="N172" t="str">
            <v>NA</v>
          </cell>
          <cell r="O172" t="str">
            <v>NA</v>
          </cell>
        </row>
        <row r="173">
          <cell r="A173" t="str">
            <v>A1090.I.02</v>
          </cell>
          <cell r="C173" t="str">
            <v>Electrical and instrumentation works</v>
          </cell>
          <cell r="D173" t="str">
            <v>1</v>
          </cell>
          <cell r="F173" t="str">
            <v>0%</v>
          </cell>
          <cell r="G173" t="str">
            <v>100%</v>
          </cell>
          <cell r="H173" t="str">
            <v>06 Jan 2024</v>
          </cell>
          <cell r="I173" t="str">
            <v>06 Jan 2024</v>
          </cell>
          <cell r="J173">
            <v>45948</v>
          </cell>
          <cell r="K173">
            <v>45948</v>
          </cell>
          <cell r="L173">
            <v>45297</v>
          </cell>
          <cell r="M173">
            <v>45297</v>
          </cell>
          <cell r="N173" t="str">
            <v>NA</v>
          </cell>
          <cell r="O173" t="str">
            <v>NA</v>
          </cell>
        </row>
        <row r="174">
          <cell r="A174" t="str">
            <v>A1090.I.03</v>
          </cell>
          <cell r="C174" t="str">
            <v>Public Announcement System</v>
          </cell>
          <cell r="D174" t="str">
            <v>36</v>
          </cell>
          <cell r="F174" t="str">
            <v>0%</v>
          </cell>
          <cell r="G174" t="str">
            <v>100%</v>
          </cell>
          <cell r="H174" t="str">
            <v>08 Jan 2024</v>
          </cell>
          <cell r="I174" t="str">
            <v>20 Feb 2024</v>
          </cell>
          <cell r="J174">
            <v>45950</v>
          </cell>
          <cell r="K174">
            <v>45990</v>
          </cell>
          <cell r="L174">
            <v>45299</v>
          </cell>
          <cell r="M174">
            <v>45342</v>
          </cell>
          <cell r="N174" t="str">
            <v>NA</v>
          </cell>
          <cell r="O174" t="str">
            <v>NA</v>
          </cell>
        </row>
        <row r="175">
          <cell r="A175" t="str">
            <v>A1090.I.04</v>
          </cell>
          <cell r="C175" t="str">
            <v>Weighbridges</v>
          </cell>
          <cell r="D175" t="str">
            <v>96</v>
          </cell>
          <cell r="F175" t="str">
            <v>0%</v>
          </cell>
          <cell r="G175" t="str">
            <v>100%</v>
          </cell>
          <cell r="H175" t="str">
            <v>19 Jan 2024</v>
          </cell>
          <cell r="I175" t="str">
            <v>15 May 2024</v>
          </cell>
          <cell r="J175">
            <v>45950</v>
          </cell>
          <cell r="K175">
            <v>46060</v>
          </cell>
          <cell r="L175">
            <v>45310</v>
          </cell>
          <cell r="M175">
            <v>45427</v>
          </cell>
          <cell r="N175" t="str">
            <v>NA</v>
          </cell>
          <cell r="O175" t="str">
            <v>NA</v>
          </cell>
        </row>
        <row r="176">
          <cell r="A176" t="str">
            <v>A1090.I.05</v>
          </cell>
          <cell r="C176" t="str">
            <v>Furniture</v>
          </cell>
          <cell r="D176" t="str">
            <v>18</v>
          </cell>
          <cell r="F176" t="str">
            <v>0%</v>
          </cell>
          <cell r="G176" t="str">
            <v>100%</v>
          </cell>
          <cell r="H176" t="str">
            <v>08 Jan 2024</v>
          </cell>
          <cell r="I176" t="str">
            <v>27 Jan 2024</v>
          </cell>
          <cell r="J176">
            <v>45950</v>
          </cell>
          <cell r="K176">
            <v>45969</v>
          </cell>
          <cell r="L176">
            <v>45299</v>
          </cell>
          <cell r="M176">
            <v>45318</v>
          </cell>
          <cell r="N176" t="str">
            <v>NA</v>
          </cell>
          <cell r="O176" t="str">
            <v>NA</v>
          </cell>
        </row>
        <row r="177">
          <cell r="A177" t="str">
            <v>A1090.I.06</v>
          </cell>
          <cell r="C177" t="str">
            <v>Rack</v>
          </cell>
          <cell r="D177" t="str">
            <v>18</v>
          </cell>
          <cell r="F177" t="str">
            <v>0%</v>
          </cell>
          <cell r="G177" t="str">
            <v>100%</v>
          </cell>
          <cell r="H177" t="str">
            <v>08 Jan 2024</v>
          </cell>
          <cell r="I177" t="str">
            <v>27 Jan 2024</v>
          </cell>
          <cell r="J177">
            <v>45950</v>
          </cell>
          <cell r="K177">
            <v>45969</v>
          </cell>
          <cell r="L177">
            <v>45299</v>
          </cell>
          <cell r="M177">
            <v>45318</v>
          </cell>
          <cell r="N177" t="str">
            <v>NA</v>
          </cell>
          <cell r="O177" t="str">
            <v>NA</v>
          </cell>
        </row>
        <row r="178">
          <cell r="A178" t="str">
            <v>A1090.I.07</v>
          </cell>
          <cell r="C178" t="str">
            <v>UPS</v>
          </cell>
          <cell r="D178" t="str">
            <v>18</v>
          </cell>
          <cell r="F178" t="str">
            <v>0%</v>
          </cell>
          <cell r="G178" t="str">
            <v>100%</v>
          </cell>
          <cell r="H178" t="str">
            <v>08 Jan 2024</v>
          </cell>
          <cell r="I178" t="str">
            <v>27 Jan 2024</v>
          </cell>
          <cell r="J178">
            <v>45950</v>
          </cell>
          <cell r="K178">
            <v>45969</v>
          </cell>
          <cell r="L178">
            <v>45299</v>
          </cell>
          <cell r="M178">
            <v>45318</v>
          </cell>
          <cell r="N178" t="str">
            <v>NA</v>
          </cell>
          <cell r="O178" t="str">
            <v>NA</v>
          </cell>
        </row>
        <row r="179">
          <cell r="A179" t="str">
            <v>A1090.I.08</v>
          </cell>
          <cell r="C179" t="str">
            <v>Data Processing System (DPS)</v>
          </cell>
          <cell r="D179" t="str">
            <v>27</v>
          </cell>
          <cell r="F179" t="str">
            <v>0%</v>
          </cell>
          <cell r="G179" t="str">
            <v>100%</v>
          </cell>
          <cell r="H179" t="str">
            <v>08 Jan 2024</v>
          </cell>
          <cell r="I179" t="str">
            <v>07 Feb 2024</v>
          </cell>
          <cell r="J179">
            <v>45950</v>
          </cell>
          <cell r="K179">
            <v>45980</v>
          </cell>
          <cell r="L179">
            <v>45299</v>
          </cell>
          <cell r="M179">
            <v>45329</v>
          </cell>
          <cell r="N179" t="str">
            <v>NA</v>
          </cell>
          <cell r="O179" t="str">
            <v>NA</v>
          </cell>
        </row>
        <row r="180">
          <cell r="A180" t="str">
            <v>A1090.I.09</v>
          </cell>
          <cell r="C180" t="str">
            <v>Data Communication System</v>
          </cell>
          <cell r="D180" t="str">
            <v>27</v>
          </cell>
          <cell r="F180" t="str">
            <v>0%</v>
          </cell>
          <cell r="G180" t="str">
            <v>100%</v>
          </cell>
          <cell r="H180" t="str">
            <v>08 Jan 2024</v>
          </cell>
          <cell r="I180" t="str">
            <v>07 Feb 2024</v>
          </cell>
          <cell r="J180">
            <v>45950</v>
          </cell>
          <cell r="K180">
            <v>45980</v>
          </cell>
          <cell r="L180">
            <v>45299</v>
          </cell>
          <cell r="M180">
            <v>45329</v>
          </cell>
          <cell r="N180" t="str">
            <v>NA</v>
          </cell>
          <cell r="O180" t="str">
            <v>NA</v>
          </cell>
        </row>
        <row r="181">
          <cell r="A181" t="str">
            <v>A1090.I.10</v>
          </cell>
          <cell r="C181" t="str">
            <v>Interfacing Controller (IFC)</v>
          </cell>
          <cell r="D181" t="str">
            <v>18</v>
          </cell>
          <cell r="F181" t="str">
            <v>0%</v>
          </cell>
          <cell r="G181" t="str">
            <v>100%</v>
          </cell>
          <cell r="H181" t="str">
            <v>08 Jan 2024</v>
          </cell>
          <cell r="I181" t="str">
            <v>27 Jan 2024</v>
          </cell>
          <cell r="J181">
            <v>45950</v>
          </cell>
          <cell r="K181">
            <v>45969</v>
          </cell>
          <cell r="L181">
            <v>45299</v>
          </cell>
          <cell r="M181">
            <v>45318</v>
          </cell>
          <cell r="N181" t="str">
            <v>NA</v>
          </cell>
          <cell r="O181" t="str">
            <v>NA</v>
          </cell>
        </row>
        <row r="182">
          <cell r="A182" t="str">
            <v>A1090.I.11</v>
          </cell>
          <cell r="C182" t="str">
            <v>Weighbridge Intercom Kiosk</v>
          </cell>
          <cell r="D182" t="str">
            <v>50</v>
          </cell>
          <cell r="F182" t="str">
            <v>0%</v>
          </cell>
          <cell r="G182" t="str">
            <v>100%</v>
          </cell>
          <cell r="H182" t="str">
            <v>08 Jan 2024</v>
          </cell>
          <cell r="I182" t="str">
            <v>07 Mar 2024</v>
          </cell>
          <cell r="J182">
            <v>45950</v>
          </cell>
          <cell r="K182">
            <v>46007</v>
          </cell>
          <cell r="L182">
            <v>45299</v>
          </cell>
          <cell r="M182">
            <v>45358</v>
          </cell>
          <cell r="N182" t="str">
            <v>NA</v>
          </cell>
          <cell r="O182" t="str">
            <v>NA</v>
          </cell>
        </row>
        <row r="183">
          <cell r="A183" t="str">
            <v>A1090.I.12</v>
          </cell>
          <cell r="C183" t="str">
            <v>EPS Antenna</v>
          </cell>
          <cell r="D183" t="str">
            <v>26</v>
          </cell>
          <cell r="F183" t="str">
            <v>0%</v>
          </cell>
          <cell r="G183" t="str">
            <v>100%</v>
          </cell>
          <cell r="H183" t="str">
            <v>08 Jan 2024</v>
          </cell>
          <cell r="I183" t="str">
            <v>06 Feb 2024</v>
          </cell>
          <cell r="J183">
            <v>45950</v>
          </cell>
          <cell r="K183">
            <v>45979</v>
          </cell>
          <cell r="L183">
            <v>45299</v>
          </cell>
          <cell r="M183">
            <v>45328</v>
          </cell>
          <cell r="N183" t="str">
            <v>NA</v>
          </cell>
          <cell r="O183" t="str">
            <v>NA</v>
          </cell>
        </row>
        <row r="184">
          <cell r="A184" t="str">
            <v>A1090.I.13</v>
          </cell>
          <cell r="C184" t="str">
            <v>Traffic Lights</v>
          </cell>
          <cell r="D184" t="str">
            <v>26</v>
          </cell>
          <cell r="F184" t="str">
            <v>0%</v>
          </cell>
          <cell r="G184" t="str">
            <v>100%</v>
          </cell>
          <cell r="H184" t="str">
            <v>08 Jan 2024</v>
          </cell>
          <cell r="I184" t="str">
            <v>06 Feb 2024</v>
          </cell>
          <cell r="J184">
            <v>45950</v>
          </cell>
          <cell r="K184">
            <v>45979</v>
          </cell>
          <cell r="L184">
            <v>45299</v>
          </cell>
          <cell r="M184">
            <v>45328</v>
          </cell>
          <cell r="N184" t="str">
            <v>NA</v>
          </cell>
          <cell r="O184" t="str">
            <v>NA</v>
          </cell>
        </row>
        <row r="185">
          <cell r="A185" t="str">
            <v>A1090.I.14</v>
          </cell>
          <cell r="C185" t="str">
            <v>Barriers</v>
          </cell>
          <cell r="D185" t="str">
            <v>26</v>
          </cell>
          <cell r="F185" t="str">
            <v>0%</v>
          </cell>
          <cell r="G185" t="str">
            <v>100%</v>
          </cell>
          <cell r="H185" t="str">
            <v>08 Jan 2024</v>
          </cell>
          <cell r="I185" t="str">
            <v>06 Feb 2024</v>
          </cell>
          <cell r="J185">
            <v>45950</v>
          </cell>
          <cell r="K185">
            <v>45979</v>
          </cell>
          <cell r="L185">
            <v>45299</v>
          </cell>
          <cell r="M185">
            <v>45328</v>
          </cell>
          <cell r="N185" t="str">
            <v>NA</v>
          </cell>
          <cell r="O185" t="str">
            <v>NA</v>
          </cell>
        </row>
        <row r="186">
          <cell r="A186" t="str">
            <v>A1090.I.15</v>
          </cell>
          <cell r="C186" t="str">
            <v>License Plate Recognition System (LPR)</v>
          </cell>
          <cell r="D186" t="str">
            <v>26</v>
          </cell>
          <cell r="F186" t="str">
            <v>0%</v>
          </cell>
          <cell r="G186" t="str">
            <v>100%</v>
          </cell>
          <cell r="H186" t="str">
            <v>08 Jan 2024</v>
          </cell>
          <cell r="I186" t="str">
            <v>06 Feb 2024</v>
          </cell>
          <cell r="J186">
            <v>45950</v>
          </cell>
          <cell r="K186">
            <v>45979</v>
          </cell>
          <cell r="L186">
            <v>45299</v>
          </cell>
          <cell r="M186">
            <v>45328</v>
          </cell>
          <cell r="N186" t="str">
            <v>NA</v>
          </cell>
          <cell r="O186" t="str">
            <v>NA</v>
          </cell>
        </row>
        <row r="187">
          <cell r="A187" t="str">
            <v>A1090.I.16</v>
          </cell>
          <cell r="C187" t="str">
            <v>Video Recording System (VRS)</v>
          </cell>
          <cell r="D187" t="str">
            <v>26</v>
          </cell>
          <cell r="F187" t="str">
            <v>0%</v>
          </cell>
          <cell r="G187" t="str">
            <v>100%</v>
          </cell>
          <cell r="H187" t="str">
            <v>08 Jan 2024</v>
          </cell>
          <cell r="I187" t="str">
            <v>06 Feb 2024</v>
          </cell>
          <cell r="J187">
            <v>45950</v>
          </cell>
          <cell r="K187">
            <v>45979</v>
          </cell>
          <cell r="L187">
            <v>45299</v>
          </cell>
          <cell r="M187">
            <v>45328</v>
          </cell>
          <cell r="N187" t="str">
            <v>NA</v>
          </cell>
          <cell r="O187" t="str">
            <v>NA</v>
          </cell>
        </row>
        <row r="188">
          <cell r="A188" t="str">
            <v>A1090.I.17</v>
          </cell>
          <cell r="C188" t="str">
            <v>Radioactive Devices</v>
          </cell>
          <cell r="D188" t="str">
            <v>24</v>
          </cell>
          <cell r="F188" t="str">
            <v>0%</v>
          </cell>
          <cell r="G188" t="str">
            <v>100%</v>
          </cell>
          <cell r="H188" t="str">
            <v>08 Jan 2024</v>
          </cell>
          <cell r="I188" t="str">
            <v>03 Feb 2024</v>
          </cell>
          <cell r="J188">
            <v>45950</v>
          </cell>
          <cell r="K188">
            <v>45976</v>
          </cell>
          <cell r="L188">
            <v>45299</v>
          </cell>
          <cell r="M188">
            <v>45325</v>
          </cell>
          <cell r="N188" t="str">
            <v>NA</v>
          </cell>
          <cell r="O188" t="str">
            <v>NA</v>
          </cell>
        </row>
        <row r="189">
          <cell r="A189" t="str">
            <v>A1090.I.18</v>
          </cell>
          <cell r="C189" t="str">
            <v>Load Heat Detection Devices</v>
          </cell>
          <cell r="D189" t="str">
            <v>24</v>
          </cell>
          <cell r="F189" t="str">
            <v>0%</v>
          </cell>
          <cell r="G189" t="str">
            <v>100%</v>
          </cell>
          <cell r="H189" t="str">
            <v>08 Jan 2024</v>
          </cell>
          <cell r="I189" t="str">
            <v>03 Feb 2024</v>
          </cell>
          <cell r="J189">
            <v>45950</v>
          </cell>
          <cell r="K189">
            <v>45976</v>
          </cell>
          <cell r="L189">
            <v>45299</v>
          </cell>
          <cell r="M189">
            <v>45325</v>
          </cell>
          <cell r="N189" t="str">
            <v>NA</v>
          </cell>
          <cell r="O189" t="str">
            <v>NA</v>
          </cell>
        </row>
        <row r="190">
          <cell r="A190" t="str">
            <v>A1090.I.19</v>
          </cell>
          <cell r="C190" t="str">
            <v>Single weighbridge physical mock-up</v>
          </cell>
          <cell r="D190" t="str">
            <v>37</v>
          </cell>
          <cell r="F190" t="str">
            <v>0%</v>
          </cell>
          <cell r="G190" t="str">
            <v>100%</v>
          </cell>
          <cell r="H190" t="str">
            <v>08 Jan 2024</v>
          </cell>
          <cell r="I190" t="str">
            <v>21 Feb 2024</v>
          </cell>
          <cell r="J190">
            <v>45950</v>
          </cell>
          <cell r="K190">
            <v>45992</v>
          </cell>
          <cell r="L190">
            <v>45299</v>
          </cell>
          <cell r="M190">
            <v>45343</v>
          </cell>
          <cell r="N190" t="str">
            <v>NA</v>
          </cell>
          <cell r="O190" t="str">
            <v>NA</v>
          </cell>
        </row>
        <row r="191">
          <cell r="A191" t="str">
            <v>A1090.I.20</v>
          </cell>
          <cell r="C191" t="str">
            <v>Zonal Detection System</v>
          </cell>
          <cell r="D191" t="str">
            <v>38</v>
          </cell>
          <cell r="F191" t="str">
            <v>0%</v>
          </cell>
          <cell r="G191" t="str">
            <v>100%</v>
          </cell>
          <cell r="H191" t="str">
            <v>08 Jan 2024</v>
          </cell>
          <cell r="I191" t="str">
            <v>22 Feb 2024</v>
          </cell>
          <cell r="J191">
            <v>45950</v>
          </cell>
          <cell r="K191">
            <v>45993</v>
          </cell>
          <cell r="L191">
            <v>45299</v>
          </cell>
          <cell r="M191">
            <v>45344</v>
          </cell>
          <cell r="N191" t="str">
            <v>NA</v>
          </cell>
          <cell r="O191" t="str">
            <v>NA</v>
          </cell>
        </row>
        <row r="192">
          <cell r="A192" t="str">
            <v>A1090.I.21</v>
          </cell>
          <cell r="C192" t="str">
            <v>Ash Truck Positioning and Empty/Full Detection Devices</v>
          </cell>
          <cell r="D192" t="str">
            <v>50</v>
          </cell>
          <cell r="F192" t="str">
            <v>0%</v>
          </cell>
          <cell r="G192" t="str">
            <v>100%</v>
          </cell>
          <cell r="H192" t="str">
            <v>08 Jan 2024</v>
          </cell>
          <cell r="I192" t="str">
            <v>07 Mar 2024</v>
          </cell>
          <cell r="J192">
            <v>45950</v>
          </cell>
          <cell r="K192">
            <v>46007</v>
          </cell>
          <cell r="L192">
            <v>45299</v>
          </cell>
          <cell r="M192">
            <v>45358</v>
          </cell>
          <cell r="N192" t="str">
            <v>NA</v>
          </cell>
          <cell r="O192" t="str">
            <v>NA</v>
          </cell>
        </row>
        <row r="193">
          <cell r="C193" t="str">
            <v>Testing &amp; Commissioning</v>
          </cell>
          <cell r="D193" t="str">
            <v>400</v>
          </cell>
          <cell r="F193" t="str">
            <v>0%</v>
          </cell>
          <cell r="G193" t="str">
            <v>100%</v>
          </cell>
          <cell r="H193" t="str">
            <v>30 May 2024</v>
          </cell>
          <cell r="I193" t="str">
            <v>07 Oct 2025</v>
          </cell>
          <cell r="J193">
            <v>46062</v>
          </cell>
          <cell r="K193">
            <v>46527</v>
          </cell>
          <cell r="L193">
            <v>45442</v>
          </cell>
          <cell r="M193">
            <v>45937</v>
          </cell>
          <cell r="N193" t="str">
            <v>NA</v>
          </cell>
          <cell r="O193" t="str">
            <v>NA</v>
          </cell>
        </row>
        <row r="194">
          <cell r="A194" t="str">
            <v>A1100</v>
          </cell>
          <cell r="C194" t="str">
            <v>ERP/ DCS Interface Readiness</v>
          </cell>
          <cell r="D194" t="str">
            <v>1</v>
          </cell>
          <cell r="F194" t="str">
            <v>0%</v>
          </cell>
          <cell r="G194" t="str">
            <v>100%</v>
          </cell>
          <cell r="H194" t="str">
            <v>30 May 2024</v>
          </cell>
          <cell r="I194" t="str">
            <v>30 May 2024</v>
          </cell>
          <cell r="J194">
            <v>46062</v>
          </cell>
          <cell r="K194">
            <v>46062</v>
          </cell>
          <cell r="L194">
            <v>45442</v>
          </cell>
          <cell r="M194">
            <v>45442</v>
          </cell>
          <cell r="N194" t="str">
            <v>NA</v>
          </cell>
          <cell r="O194" t="str">
            <v>NA</v>
          </cell>
        </row>
        <row r="195">
          <cell r="A195" t="str">
            <v>A1110</v>
          </cell>
          <cell r="C195" t="str">
            <v>Site Acceptance Test</v>
          </cell>
          <cell r="D195" t="str">
            <v>90</v>
          </cell>
          <cell r="F195" t="str">
            <v>0%</v>
          </cell>
          <cell r="G195" t="str">
            <v>100%</v>
          </cell>
          <cell r="H195" t="str">
            <v>31 May 2024</v>
          </cell>
          <cell r="I195" t="str">
            <v>13 Sep 2024</v>
          </cell>
          <cell r="J195">
            <v>46063</v>
          </cell>
          <cell r="K195">
            <v>46167</v>
          </cell>
          <cell r="L195">
            <v>45443</v>
          </cell>
          <cell r="M195">
            <v>45548</v>
          </cell>
          <cell r="N195" t="str">
            <v>NA</v>
          </cell>
          <cell r="O195" t="str">
            <v>NA</v>
          </cell>
        </row>
        <row r="196">
          <cell r="A196" t="str">
            <v>A1110.S.01</v>
          </cell>
          <cell r="C196" t="str">
            <v>Client Inspection of Weighbridge Sub-system</v>
          </cell>
          <cell r="D196" t="str">
            <v>25</v>
          </cell>
          <cell r="F196" t="str">
            <v>0%</v>
          </cell>
          <cell r="G196" t="str">
            <v>100%</v>
          </cell>
          <cell r="H196" t="str">
            <v>31 May 2024</v>
          </cell>
          <cell r="I196" t="str">
            <v>29 Jun 2024</v>
          </cell>
          <cell r="J196">
            <v>46063</v>
          </cell>
          <cell r="K196">
            <v>46091</v>
          </cell>
          <cell r="L196">
            <v>45443</v>
          </cell>
          <cell r="M196">
            <v>45472</v>
          </cell>
          <cell r="N196" t="str">
            <v>NA</v>
          </cell>
          <cell r="O196" t="str">
            <v>NA</v>
          </cell>
        </row>
        <row r="197">
          <cell r="A197" t="str">
            <v>A1110.S.02</v>
          </cell>
          <cell r="C197" t="str">
            <v>Client Inspection of Zonal Detection Sub-system</v>
          </cell>
          <cell r="D197" t="str">
            <v>27</v>
          </cell>
          <cell r="F197" t="str">
            <v>0%</v>
          </cell>
          <cell r="G197" t="str">
            <v>100%</v>
          </cell>
          <cell r="H197" t="str">
            <v>01 Jul 2024</v>
          </cell>
          <cell r="I197" t="str">
            <v>31 Jul 2024</v>
          </cell>
          <cell r="J197">
            <v>46092</v>
          </cell>
          <cell r="K197">
            <v>46122</v>
          </cell>
          <cell r="L197">
            <v>45474</v>
          </cell>
          <cell r="M197">
            <v>45504</v>
          </cell>
          <cell r="N197" t="str">
            <v>NA</v>
          </cell>
          <cell r="O197" t="str">
            <v>NA</v>
          </cell>
        </row>
        <row r="198">
          <cell r="A198" t="str">
            <v>A1110.S.03</v>
          </cell>
          <cell r="C198" t="str">
            <v>Punchlist Clearance</v>
          </cell>
          <cell r="D198" t="str">
            <v>20</v>
          </cell>
          <cell r="F198" t="str">
            <v>0%</v>
          </cell>
          <cell r="G198" t="str">
            <v>100%</v>
          </cell>
          <cell r="H198" t="str">
            <v>01 Aug 2024</v>
          </cell>
          <cell r="I198" t="str">
            <v>23 Aug 2024</v>
          </cell>
          <cell r="J198">
            <v>46123</v>
          </cell>
          <cell r="K198">
            <v>46146</v>
          </cell>
          <cell r="L198">
            <v>45505</v>
          </cell>
          <cell r="M198">
            <v>45527</v>
          </cell>
          <cell r="N198" t="str">
            <v>NA</v>
          </cell>
          <cell r="O198" t="str">
            <v>NA</v>
          </cell>
        </row>
        <row r="199">
          <cell r="A199" t="str">
            <v>A1110.S.04</v>
          </cell>
          <cell r="C199" t="str">
            <v>User Training</v>
          </cell>
          <cell r="D199" t="str">
            <v>18</v>
          </cell>
          <cell r="F199" t="str">
            <v>0%</v>
          </cell>
          <cell r="G199" t="str">
            <v>100%</v>
          </cell>
          <cell r="H199" t="str">
            <v>24 Aug 2024</v>
          </cell>
          <cell r="I199" t="str">
            <v>13 Sep 2024</v>
          </cell>
          <cell r="J199">
            <v>46147</v>
          </cell>
          <cell r="K199">
            <v>46167</v>
          </cell>
          <cell r="L199">
            <v>45528</v>
          </cell>
          <cell r="M199">
            <v>45548</v>
          </cell>
          <cell r="N199" t="str">
            <v>NA</v>
          </cell>
          <cell r="O199" t="str">
            <v>NA</v>
          </cell>
        </row>
        <row r="200">
          <cell r="A200" t="str">
            <v>A1120</v>
          </cell>
          <cell r="C200" t="str">
            <v>System Commissioning Test</v>
          </cell>
          <cell r="D200" t="str">
            <v>80</v>
          </cell>
          <cell r="F200" t="str">
            <v>0%</v>
          </cell>
          <cell r="G200" t="str">
            <v>100%</v>
          </cell>
          <cell r="H200" t="str">
            <v>14 Sep 2024</v>
          </cell>
          <cell r="I200" t="str">
            <v>16 Dec 2024</v>
          </cell>
          <cell r="J200">
            <v>46168</v>
          </cell>
          <cell r="K200">
            <v>46260</v>
          </cell>
          <cell r="L200">
            <v>45549</v>
          </cell>
          <cell r="M200">
            <v>45642</v>
          </cell>
          <cell r="N200" t="str">
            <v>NA</v>
          </cell>
          <cell r="O200" t="str">
            <v>NA</v>
          </cell>
        </row>
        <row r="201">
          <cell r="A201" t="str">
            <v>A1120.S.01</v>
          </cell>
          <cell r="C201" t="str">
            <v>Weighbridge (Line 1&amp;2) System Conduct System Commissioning Test - Hardware</v>
          </cell>
          <cell r="D201" t="str">
            <v>80</v>
          </cell>
          <cell r="F201" t="str">
            <v>0%</v>
          </cell>
          <cell r="G201" t="str">
            <v>100%</v>
          </cell>
          <cell r="H201" t="str">
            <v>14 Sep 2024</v>
          </cell>
          <cell r="I201" t="str">
            <v>16 Dec 2024</v>
          </cell>
          <cell r="J201">
            <v>46168</v>
          </cell>
          <cell r="K201">
            <v>46260</v>
          </cell>
          <cell r="L201">
            <v>45549</v>
          </cell>
          <cell r="M201">
            <v>45642</v>
          </cell>
          <cell r="N201" t="str">
            <v>NA</v>
          </cell>
          <cell r="O201" t="str">
            <v>NA</v>
          </cell>
        </row>
        <row r="202">
          <cell r="A202" t="str">
            <v>A1120.S.02</v>
          </cell>
          <cell r="C202" t="str">
            <v>Weighbridge (Line 1&amp;2) System Conduct System Commissioning Test - Software</v>
          </cell>
          <cell r="D202" t="str">
            <v>80</v>
          </cell>
          <cell r="F202" t="str">
            <v>0%</v>
          </cell>
          <cell r="G202" t="str">
            <v>100%</v>
          </cell>
          <cell r="H202" t="str">
            <v>14 Sep 2024</v>
          </cell>
          <cell r="I202" t="str">
            <v>16 Dec 2024</v>
          </cell>
          <cell r="J202">
            <v>46168</v>
          </cell>
          <cell r="K202">
            <v>46260</v>
          </cell>
          <cell r="L202">
            <v>45549</v>
          </cell>
          <cell r="M202">
            <v>45642</v>
          </cell>
          <cell r="N202" t="str">
            <v>NA</v>
          </cell>
          <cell r="O202" t="str">
            <v>NA</v>
          </cell>
        </row>
        <row r="203">
          <cell r="A203" t="str">
            <v>A1120.S.03</v>
          </cell>
          <cell r="C203" t="str">
            <v>Weighbridge Zonal System Conduct System Commissioning Test</v>
          </cell>
          <cell r="D203" t="str">
            <v>80</v>
          </cell>
          <cell r="F203" t="str">
            <v>0%</v>
          </cell>
          <cell r="G203" t="str">
            <v>100%</v>
          </cell>
          <cell r="H203" t="str">
            <v>14 Sep 2024</v>
          </cell>
          <cell r="I203" t="str">
            <v>16 Dec 2024</v>
          </cell>
          <cell r="J203">
            <v>46168</v>
          </cell>
          <cell r="K203">
            <v>46260</v>
          </cell>
          <cell r="L203">
            <v>45549</v>
          </cell>
          <cell r="M203">
            <v>45642</v>
          </cell>
          <cell r="N203" t="str">
            <v>NA</v>
          </cell>
          <cell r="O203" t="str">
            <v>NA</v>
          </cell>
        </row>
        <row r="204">
          <cell r="A204" t="str">
            <v>A1120.S.04</v>
          </cell>
          <cell r="C204" t="str">
            <v>Weighbridge (Line 3&amp;4) System Commissioning Test</v>
          </cell>
          <cell r="D204" t="str">
            <v>80</v>
          </cell>
          <cell r="F204" t="str">
            <v>0%</v>
          </cell>
          <cell r="G204" t="str">
            <v>100%</v>
          </cell>
          <cell r="H204" t="str">
            <v>17 Dec 2024</v>
          </cell>
          <cell r="I204" t="str">
            <v>19 Mar 2025</v>
          </cell>
          <cell r="J204">
            <v>46261</v>
          </cell>
          <cell r="K204">
            <v>46353</v>
          </cell>
          <cell r="L204">
            <v>45643</v>
          </cell>
          <cell r="M204">
            <v>45735</v>
          </cell>
          <cell r="N204" t="str">
            <v>NA</v>
          </cell>
          <cell r="O204" t="str">
            <v>NA</v>
          </cell>
        </row>
        <row r="205">
          <cell r="A205" t="str">
            <v>A1130</v>
          </cell>
          <cell r="C205" t="str">
            <v>Successful Completion of Trial Operation Test</v>
          </cell>
          <cell r="D205" t="str">
            <v>95</v>
          </cell>
          <cell r="F205" t="str">
            <v>0%</v>
          </cell>
          <cell r="G205" t="str">
            <v>100%</v>
          </cell>
          <cell r="H205" t="str">
            <v>21 Mar 2025</v>
          </cell>
          <cell r="I205" t="str">
            <v>09 Jul 2025</v>
          </cell>
          <cell r="J205">
            <v>46354</v>
          </cell>
          <cell r="K205">
            <v>46464</v>
          </cell>
          <cell r="L205">
            <v>45737</v>
          </cell>
          <cell r="M205">
            <v>45847</v>
          </cell>
          <cell r="N205" t="str">
            <v>NA</v>
          </cell>
          <cell r="O205" t="str">
            <v>NA</v>
          </cell>
        </row>
        <row r="206">
          <cell r="A206" t="str">
            <v>A1150</v>
          </cell>
          <cell r="C206" t="str">
            <v>Completion of the whole Sub-Contract Works</v>
          </cell>
          <cell r="D206" t="str">
            <v>54</v>
          </cell>
          <cell r="F206" t="str">
            <v>0%</v>
          </cell>
          <cell r="G206" t="str">
            <v>100%</v>
          </cell>
          <cell r="H206" t="str">
            <v>10 Jul 2025</v>
          </cell>
          <cell r="I206" t="str">
            <v>07 Oct 2025</v>
          </cell>
          <cell r="J206">
            <v>46465</v>
          </cell>
          <cell r="K206">
            <v>46527</v>
          </cell>
          <cell r="L206">
            <v>45848</v>
          </cell>
          <cell r="M206">
            <v>45937</v>
          </cell>
          <cell r="N206" t="str">
            <v>NA</v>
          </cell>
          <cell r="O206" t="str">
            <v>NA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ctual Progress-Tracking"/>
      <sheetName val="ALC"/>
      <sheetName val="ALC-Master"/>
      <sheetName val="MS Progress"/>
      <sheetName val="Data"/>
      <sheetName val="Data Process"/>
    </sheetNames>
    <sheetDataSet>
      <sheetData sheetId="0"/>
      <sheetData sheetId="1">
        <row r="8">
          <cell r="D8">
            <v>44264</v>
          </cell>
          <cell r="E8">
            <v>44264</v>
          </cell>
          <cell r="G8">
            <v>1.4730002366730718E-4</v>
          </cell>
        </row>
        <row r="9">
          <cell r="D9">
            <v>44582</v>
          </cell>
          <cell r="E9">
            <v>44582</v>
          </cell>
          <cell r="G9">
            <v>0</v>
          </cell>
        </row>
        <row r="10">
          <cell r="D10">
            <v>45223</v>
          </cell>
          <cell r="E10">
            <v>45223</v>
          </cell>
          <cell r="G10">
            <v>0</v>
          </cell>
        </row>
        <row r="11">
          <cell r="D11">
            <v>45293</v>
          </cell>
          <cell r="E11">
            <v>45293</v>
          </cell>
          <cell r="G11">
            <v>0</v>
          </cell>
        </row>
        <row r="12">
          <cell r="D12">
            <v>45427</v>
          </cell>
          <cell r="E12">
            <v>45427</v>
          </cell>
          <cell r="G12">
            <v>0</v>
          </cell>
        </row>
        <row r="13">
          <cell r="D13">
            <v>45504</v>
          </cell>
          <cell r="E13">
            <v>45504</v>
          </cell>
          <cell r="G13">
            <v>0</v>
          </cell>
        </row>
        <row r="14">
          <cell r="D14">
            <v>45847</v>
          </cell>
          <cell r="E14">
            <v>45847</v>
          </cell>
          <cell r="G14">
            <v>0</v>
          </cell>
        </row>
        <row r="15">
          <cell r="D15">
            <v>45937</v>
          </cell>
          <cell r="E15">
            <v>45937</v>
          </cell>
          <cell r="G15">
            <v>0</v>
          </cell>
        </row>
        <row r="17">
          <cell r="D17">
            <v>44274</v>
          </cell>
          <cell r="E17">
            <v>44289</v>
          </cell>
          <cell r="G17">
            <v>1.7659452275619858E-3</v>
          </cell>
        </row>
        <row r="19">
          <cell r="D19">
            <v>44293</v>
          </cell>
          <cell r="E19">
            <v>44363</v>
          </cell>
          <cell r="G19">
            <v>9.415616119587758E-3</v>
          </cell>
        </row>
        <row r="20">
          <cell r="D20">
            <v>44364</v>
          </cell>
          <cell r="E20">
            <v>44364</v>
          </cell>
          <cell r="G20">
            <v>1.6550564457000805E-4</v>
          </cell>
        </row>
        <row r="21">
          <cell r="D21">
            <v>44365</v>
          </cell>
          <cell r="E21">
            <v>44372</v>
          </cell>
          <cell r="G21">
            <v>1.1585395119900564E-3</v>
          </cell>
        </row>
        <row r="22">
          <cell r="D22">
            <v>44373</v>
          </cell>
          <cell r="E22">
            <v>44398</v>
          </cell>
          <cell r="G22">
            <v>3.4938241568728701E-3</v>
          </cell>
        </row>
        <row r="23">
          <cell r="D23">
            <v>44399</v>
          </cell>
          <cell r="E23">
            <v>44403</v>
          </cell>
          <cell r="G23">
            <v>5.14722554612725E-4</v>
          </cell>
        </row>
        <row r="24">
          <cell r="D24">
            <v>44405</v>
          </cell>
          <cell r="E24">
            <v>44406</v>
          </cell>
          <cell r="G24">
            <v>1.8371126547270895E-4</v>
          </cell>
        </row>
        <row r="25">
          <cell r="D25">
            <v>44407</v>
          </cell>
          <cell r="E25">
            <v>44416</v>
          </cell>
          <cell r="G25">
            <v>1.3240451565600644E-3</v>
          </cell>
        </row>
        <row r="26">
          <cell r="D26">
            <v>44293</v>
          </cell>
          <cell r="E26">
            <v>44371</v>
          </cell>
          <cell r="G26">
            <v>1.0574155631577814E-2</v>
          </cell>
        </row>
        <row r="27">
          <cell r="D27">
            <v>44372</v>
          </cell>
          <cell r="E27">
            <v>44372</v>
          </cell>
          <cell r="G27">
            <v>1.6550564457000805E-4</v>
          </cell>
        </row>
        <row r="28">
          <cell r="D28">
            <v>44372</v>
          </cell>
          <cell r="E28">
            <v>44379</v>
          </cell>
          <cell r="G28">
            <v>1.0112394883227494E-3</v>
          </cell>
        </row>
        <row r="29">
          <cell r="D29">
            <v>44380</v>
          </cell>
          <cell r="E29">
            <v>44393</v>
          </cell>
          <cell r="G29">
            <v>1.9678621139373959E-3</v>
          </cell>
        </row>
        <row r="30">
          <cell r="D30">
            <v>44394</v>
          </cell>
          <cell r="E30">
            <v>44403</v>
          </cell>
          <cell r="G30">
            <v>1.3240451565600644E-3</v>
          </cell>
        </row>
        <row r="31">
          <cell r="D31">
            <v>44404</v>
          </cell>
          <cell r="E31">
            <v>44407</v>
          </cell>
          <cell r="G31">
            <v>6.6202257828003222E-4</v>
          </cell>
        </row>
        <row r="32">
          <cell r="D32">
            <v>44412</v>
          </cell>
          <cell r="E32">
            <v>44435</v>
          </cell>
          <cell r="G32">
            <v>3.3101128914001612E-3</v>
          </cell>
        </row>
        <row r="33">
          <cell r="D33">
            <v>44436</v>
          </cell>
          <cell r="E33">
            <v>44469</v>
          </cell>
          <cell r="G33">
            <v>4.7996636925302337E-3</v>
          </cell>
        </row>
        <row r="34">
          <cell r="D34">
            <v>44461</v>
          </cell>
          <cell r="E34">
            <v>44474</v>
          </cell>
          <cell r="G34">
            <v>1.9860677348400965E-3</v>
          </cell>
        </row>
        <row r="35">
          <cell r="D35">
            <v>44475</v>
          </cell>
          <cell r="E35">
            <v>44484</v>
          </cell>
          <cell r="G35">
            <v>1.4895508011300725E-3</v>
          </cell>
        </row>
        <row r="36">
          <cell r="D36">
            <v>44485</v>
          </cell>
          <cell r="E36">
            <v>44489</v>
          </cell>
          <cell r="G36">
            <v>6.6202257828003222E-4</v>
          </cell>
        </row>
        <row r="37">
          <cell r="D37">
            <v>44490</v>
          </cell>
          <cell r="E37">
            <v>44494</v>
          </cell>
          <cell r="G37">
            <v>6.6202257828003222E-4</v>
          </cell>
        </row>
        <row r="38">
          <cell r="D38">
            <v>44498</v>
          </cell>
          <cell r="E38">
            <v>44582</v>
          </cell>
          <cell r="G38">
            <v>1.1585395119900564E-2</v>
          </cell>
        </row>
        <row r="39">
          <cell r="D39">
            <v>44585</v>
          </cell>
          <cell r="E39">
            <v>44956</v>
          </cell>
          <cell r="G39">
            <v>0</v>
          </cell>
        </row>
        <row r="40">
          <cell r="D40">
            <v>44436</v>
          </cell>
          <cell r="E40">
            <v>44469</v>
          </cell>
          <cell r="G40">
            <v>4.7996636925302337E-3</v>
          </cell>
        </row>
        <row r="41">
          <cell r="D41">
            <v>44469</v>
          </cell>
          <cell r="E41">
            <v>44483</v>
          </cell>
          <cell r="G41">
            <v>1.8387677111727893E-3</v>
          </cell>
        </row>
        <row r="42">
          <cell r="D42">
            <v>44483</v>
          </cell>
          <cell r="E42">
            <v>44495</v>
          </cell>
          <cell r="G42">
            <v>1.6550564457000806E-3</v>
          </cell>
        </row>
        <row r="43">
          <cell r="D43">
            <v>44495</v>
          </cell>
          <cell r="E43">
            <v>44497</v>
          </cell>
          <cell r="G43">
            <v>1.8371126547270895E-4</v>
          </cell>
        </row>
        <row r="44">
          <cell r="D44">
            <v>44497</v>
          </cell>
          <cell r="E44">
            <v>44498</v>
          </cell>
          <cell r="G44">
            <v>1.6550564457000805E-4</v>
          </cell>
        </row>
        <row r="45">
          <cell r="D45">
            <v>44498</v>
          </cell>
          <cell r="E45">
            <v>44508</v>
          </cell>
          <cell r="G45">
            <v>1.3240451565600644E-3</v>
          </cell>
        </row>
        <row r="46">
          <cell r="D46">
            <v>44498</v>
          </cell>
          <cell r="E46">
            <v>44583</v>
          </cell>
          <cell r="G46">
            <v>1.1750900764470572E-2</v>
          </cell>
        </row>
        <row r="47">
          <cell r="D47">
            <v>44585</v>
          </cell>
          <cell r="E47">
            <v>45115</v>
          </cell>
          <cell r="G47">
            <v>0</v>
          </cell>
        </row>
        <row r="50">
          <cell r="D50">
            <v>44737</v>
          </cell>
          <cell r="E50">
            <v>44748</v>
          </cell>
          <cell r="G50">
            <v>1.6550564457000806E-3</v>
          </cell>
        </row>
        <row r="51">
          <cell r="D51">
            <v>44749</v>
          </cell>
          <cell r="E51">
            <v>44751</v>
          </cell>
          <cell r="G51">
            <v>4.9651693371002413E-4</v>
          </cell>
        </row>
        <row r="52">
          <cell r="D52">
            <v>44754</v>
          </cell>
          <cell r="E52">
            <v>44765</v>
          </cell>
          <cell r="G52">
            <v>1.8205620902700887E-3</v>
          </cell>
        </row>
        <row r="53">
          <cell r="D53">
            <v>44767</v>
          </cell>
          <cell r="E53">
            <v>44769</v>
          </cell>
          <cell r="G53">
            <v>4.9651693371002413E-4</v>
          </cell>
        </row>
        <row r="54">
          <cell r="D54">
            <v>44770</v>
          </cell>
          <cell r="E54">
            <v>44778</v>
          </cell>
          <cell r="G54">
            <v>1.3240451565600644E-3</v>
          </cell>
        </row>
        <row r="55">
          <cell r="D55">
            <v>44779</v>
          </cell>
          <cell r="E55">
            <v>44785</v>
          </cell>
          <cell r="G55">
            <v>8.275282228500403E-4</v>
          </cell>
        </row>
        <row r="56">
          <cell r="D56">
            <v>44786</v>
          </cell>
          <cell r="E56">
            <v>44805</v>
          </cell>
          <cell r="G56">
            <v>1.0923372541620532E-2</v>
          </cell>
        </row>
        <row r="57">
          <cell r="D57">
            <v>44806</v>
          </cell>
          <cell r="E57">
            <v>44813</v>
          </cell>
          <cell r="G57">
            <v>2.8715229332896401E-3</v>
          </cell>
        </row>
        <row r="58">
          <cell r="D58">
            <v>44814</v>
          </cell>
          <cell r="E58">
            <v>44820</v>
          </cell>
          <cell r="G58">
            <v>1.6550564457000805E-4</v>
          </cell>
        </row>
        <row r="59">
          <cell r="D59">
            <v>44821</v>
          </cell>
          <cell r="E59">
            <v>44825</v>
          </cell>
          <cell r="G59">
            <v>1.6550564457000805E-4</v>
          </cell>
        </row>
        <row r="60">
          <cell r="D60">
            <v>44826</v>
          </cell>
          <cell r="E60">
            <v>44833</v>
          </cell>
          <cell r="G60">
            <v>1.6550564457000805E-4</v>
          </cell>
        </row>
        <row r="61">
          <cell r="D61">
            <v>44834</v>
          </cell>
          <cell r="E61">
            <v>44838</v>
          </cell>
          <cell r="G61">
            <v>1.6550564457000805E-4</v>
          </cell>
        </row>
        <row r="62">
          <cell r="D62">
            <v>44839</v>
          </cell>
          <cell r="E62">
            <v>44859</v>
          </cell>
          <cell r="G62">
            <v>3.3928657136851653E-3</v>
          </cell>
        </row>
        <row r="63">
          <cell r="D63">
            <v>44860</v>
          </cell>
          <cell r="E63">
            <v>44890</v>
          </cell>
          <cell r="G63">
            <v>4.4686524033902171E-3</v>
          </cell>
        </row>
        <row r="64">
          <cell r="D64">
            <v>44365</v>
          </cell>
          <cell r="E64">
            <v>45121</v>
          </cell>
          <cell r="G64">
            <v>0.1768477463923907</v>
          </cell>
        </row>
        <row r="65">
          <cell r="D65">
            <v>44365</v>
          </cell>
          <cell r="E65">
            <v>44443</v>
          </cell>
          <cell r="G65">
            <v>1.108887818619054E-2</v>
          </cell>
        </row>
        <row r="66">
          <cell r="D66">
            <v>44445</v>
          </cell>
          <cell r="E66">
            <v>44446</v>
          </cell>
          <cell r="G66">
            <v>3.3101128914001611E-4</v>
          </cell>
        </row>
        <row r="67">
          <cell r="D67">
            <v>44447</v>
          </cell>
          <cell r="E67">
            <v>44460</v>
          </cell>
          <cell r="G67">
            <v>1.9860677348400965E-3</v>
          </cell>
        </row>
        <row r="68">
          <cell r="D68">
            <v>44461</v>
          </cell>
          <cell r="E68">
            <v>44469</v>
          </cell>
          <cell r="G68">
            <v>1.3240451565600644E-3</v>
          </cell>
        </row>
        <row r="69">
          <cell r="D69">
            <v>44470</v>
          </cell>
          <cell r="E69">
            <v>44476</v>
          </cell>
          <cell r="G69">
            <v>9.9303386742004827E-4</v>
          </cell>
        </row>
        <row r="70">
          <cell r="D70">
            <v>44476</v>
          </cell>
          <cell r="E70">
            <v>44484</v>
          </cell>
          <cell r="G70">
            <v>1.3240451565600644E-3</v>
          </cell>
        </row>
        <row r="71">
          <cell r="D71">
            <v>44687</v>
          </cell>
          <cell r="E71">
            <v>44699</v>
          </cell>
          <cell r="G71">
            <v>1.8205620902700887E-3</v>
          </cell>
        </row>
        <row r="72">
          <cell r="D72">
            <v>44700</v>
          </cell>
          <cell r="E72">
            <v>44734</v>
          </cell>
          <cell r="G72">
            <v>4.965169337100242E-3</v>
          </cell>
        </row>
        <row r="73">
          <cell r="D73">
            <v>44735</v>
          </cell>
          <cell r="E73">
            <v>44741</v>
          </cell>
          <cell r="G73">
            <v>9.9303386742004827E-4</v>
          </cell>
        </row>
        <row r="74">
          <cell r="D74">
            <v>44742</v>
          </cell>
          <cell r="E74">
            <v>44774</v>
          </cell>
          <cell r="G74">
            <v>4.3213523797229099E-3</v>
          </cell>
        </row>
        <row r="75">
          <cell r="D75">
            <v>44775</v>
          </cell>
          <cell r="E75">
            <v>44784</v>
          </cell>
          <cell r="G75">
            <v>1.1767451328927574E-3</v>
          </cell>
        </row>
        <row r="76">
          <cell r="D76">
            <v>44785</v>
          </cell>
          <cell r="E76">
            <v>44793</v>
          </cell>
          <cell r="G76">
            <v>1.3240451565600644E-3</v>
          </cell>
        </row>
        <row r="77">
          <cell r="D77">
            <v>44796</v>
          </cell>
          <cell r="E77">
            <v>44806</v>
          </cell>
          <cell r="G77">
            <v>1.6550564457000806E-3</v>
          </cell>
        </row>
        <row r="78">
          <cell r="D78">
            <v>44809</v>
          </cell>
          <cell r="E78">
            <v>45121</v>
          </cell>
          <cell r="G78">
            <v>4.4868580242929182E-3</v>
          </cell>
        </row>
        <row r="80">
          <cell r="D80">
            <v>44807</v>
          </cell>
          <cell r="E80">
            <v>44839</v>
          </cell>
          <cell r="G80">
            <v>1.8205620902700887E-3</v>
          </cell>
        </row>
        <row r="81">
          <cell r="D81">
            <v>44838</v>
          </cell>
          <cell r="E81">
            <v>44839</v>
          </cell>
          <cell r="G81">
            <v>3.3101128914001611E-4</v>
          </cell>
        </row>
        <row r="82">
          <cell r="D82">
            <v>44841</v>
          </cell>
          <cell r="E82">
            <v>44853</v>
          </cell>
          <cell r="G82">
            <v>3.3101128914001611E-4</v>
          </cell>
        </row>
        <row r="83">
          <cell r="D83">
            <v>44854</v>
          </cell>
          <cell r="E83">
            <v>44860</v>
          </cell>
          <cell r="G83">
            <v>3.3101128914001611E-4</v>
          </cell>
        </row>
        <row r="84">
          <cell r="D84">
            <v>44862</v>
          </cell>
          <cell r="E84">
            <v>44869</v>
          </cell>
          <cell r="G84">
            <v>3.3101128914001611E-4</v>
          </cell>
        </row>
        <row r="85">
          <cell r="D85">
            <v>44870</v>
          </cell>
          <cell r="E85">
            <v>44874</v>
          </cell>
          <cell r="G85">
            <v>3.3101128914001611E-4</v>
          </cell>
        </row>
        <row r="86">
          <cell r="D86">
            <v>44874</v>
          </cell>
          <cell r="E86">
            <v>44872</v>
          </cell>
          <cell r="G86">
            <v>0</v>
          </cell>
        </row>
        <row r="87">
          <cell r="D87">
            <v>44893</v>
          </cell>
          <cell r="E87">
            <v>44900</v>
          </cell>
          <cell r="G87">
            <v>9.2683160959204506E-4</v>
          </cell>
        </row>
        <row r="88">
          <cell r="D88">
            <v>44901</v>
          </cell>
          <cell r="E88">
            <v>44907</v>
          </cell>
          <cell r="G88">
            <v>1.6550564457000805E-4</v>
          </cell>
        </row>
        <row r="89">
          <cell r="D89">
            <v>44908</v>
          </cell>
          <cell r="E89">
            <v>44911</v>
          </cell>
          <cell r="G89">
            <v>0</v>
          </cell>
        </row>
        <row r="90">
          <cell r="D90">
            <v>44912</v>
          </cell>
          <cell r="E90">
            <v>44918</v>
          </cell>
          <cell r="G90">
            <v>1.6550564457000805E-4</v>
          </cell>
        </row>
        <row r="91">
          <cell r="D91">
            <v>44919</v>
          </cell>
          <cell r="E91">
            <v>44924</v>
          </cell>
          <cell r="G91">
            <v>9.9303386742004827E-4</v>
          </cell>
        </row>
        <row r="92">
          <cell r="D92">
            <v>44926</v>
          </cell>
          <cell r="E92">
            <v>44945</v>
          </cell>
          <cell r="G92">
            <v>2.979101602260145E-3</v>
          </cell>
        </row>
        <row r="93">
          <cell r="D93">
            <v>45098</v>
          </cell>
          <cell r="E93">
            <v>45129</v>
          </cell>
          <cell r="G93">
            <v>4.4686524033902171E-3</v>
          </cell>
        </row>
        <row r="95">
          <cell r="D95">
            <v>44602</v>
          </cell>
          <cell r="E95">
            <v>44749</v>
          </cell>
          <cell r="G95">
            <v>2.0522699926680998E-2</v>
          </cell>
        </row>
        <row r="96">
          <cell r="D96">
            <v>44750</v>
          </cell>
          <cell r="E96">
            <v>44762</v>
          </cell>
          <cell r="G96">
            <v>2.979101602260145E-3</v>
          </cell>
        </row>
        <row r="97">
          <cell r="D97">
            <v>44763</v>
          </cell>
          <cell r="E97">
            <v>44764</v>
          </cell>
          <cell r="G97">
            <v>3.3101128914001611E-4</v>
          </cell>
        </row>
        <row r="98">
          <cell r="D98">
            <v>44764</v>
          </cell>
          <cell r="E98">
            <v>44770</v>
          </cell>
          <cell r="G98">
            <v>2.979101602260145E-3</v>
          </cell>
        </row>
        <row r="99">
          <cell r="D99">
            <v>44771</v>
          </cell>
          <cell r="E99">
            <v>44809</v>
          </cell>
          <cell r="G99">
            <v>1.3240451565600644E-3</v>
          </cell>
        </row>
        <row r="100">
          <cell r="D100">
            <v>44811</v>
          </cell>
          <cell r="E100">
            <v>44818</v>
          </cell>
          <cell r="G100">
            <v>3.3101128914001611E-4</v>
          </cell>
        </row>
        <row r="101">
          <cell r="D101">
            <v>44818</v>
          </cell>
          <cell r="E101">
            <v>44831</v>
          </cell>
          <cell r="G101">
            <v>0</v>
          </cell>
        </row>
        <row r="102">
          <cell r="D102">
            <v>44833</v>
          </cell>
          <cell r="E102">
            <v>44838</v>
          </cell>
          <cell r="G102">
            <v>6.1237088490902983E-3</v>
          </cell>
        </row>
        <row r="103">
          <cell r="D103">
            <v>44839</v>
          </cell>
          <cell r="E103">
            <v>44895</v>
          </cell>
          <cell r="G103">
            <v>3.3101128914001612E-3</v>
          </cell>
        </row>
        <row r="104">
          <cell r="D104">
            <v>44896</v>
          </cell>
          <cell r="E104">
            <v>44925</v>
          </cell>
          <cell r="G104">
            <v>4.1376411142502014E-3</v>
          </cell>
        </row>
        <row r="105">
          <cell r="D105">
            <v>44926</v>
          </cell>
          <cell r="E105">
            <v>44935</v>
          </cell>
          <cell r="G105">
            <v>1.1585395119900564E-3</v>
          </cell>
        </row>
        <row r="106">
          <cell r="D106">
            <v>44936</v>
          </cell>
          <cell r="E106">
            <v>44939</v>
          </cell>
          <cell r="G106">
            <v>6.6202257828003222E-4</v>
          </cell>
        </row>
        <row r="107">
          <cell r="D107">
            <v>44940</v>
          </cell>
          <cell r="E107">
            <v>44961</v>
          </cell>
          <cell r="G107">
            <v>0</v>
          </cell>
        </row>
        <row r="108">
          <cell r="D108">
            <v>45098</v>
          </cell>
          <cell r="E108">
            <v>45117</v>
          </cell>
          <cell r="G108">
            <v>2.6480903131201289E-3</v>
          </cell>
        </row>
        <row r="110">
          <cell r="D110">
            <v>44599</v>
          </cell>
          <cell r="E110">
            <v>44599</v>
          </cell>
          <cell r="G110">
            <v>1.6550564457000805E-4</v>
          </cell>
        </row>
        <row r="111">
          <cell r="D111">
            <v>44614</v>
          </cell>
          <cell r="E111">
            <v>44615</v>
          </cell>
          <cell r="G111">
            <v>2.5818880552921258E-4</v>
          </cell>
        </row>
        <row r="112">
          <cell r="D112">
            <v>44616</v>
          </cell>
          <cell r="E112">
            <v>44648</v>
          </cell>
          <cell r="G112">
            <v>4.6341580479602254E-3</v>
          </cell>
        </row>
        <row r="113">
          <cell r="D113">
            <v>44649</v>
          </cell>
          <cell r="E113">
            <v>44656</v>
          </cell>
          <cell r="G113">
            <v>1.1585395119900564E-3</v>
          </cell>
        </row>
        <row r="114">
          <cell r="D114">
            <v>44657</v>
          </cell>
          <cell r="E114">
            <v>44658</v>
          </cell>
          <cell r="G114">
            <v>3.3101128914001611E-4</v>
          </cell>
        </row>
        <row r="115">
          <cell r="D115">
            <v>44659</v>
          </cell>
          <cell r="E115">
            <v>44734</v>
          </cell>
          <cell r="G115">
            <v>1.0261349963340499E-2</v>
          </cell>
        </row>
        <row r="116">
          <cell r="D116">
            <v>44735</v>
          </cell>
          <cell r="E116">
            <v>44894</v>
          </cell>
          <cell r="G116">
            <v>2.2030456348713773E-2</v>
          </cell>
        </row>
        <row r="117">
          <cell r="D117">
            <v>44834</v>
          </cell>
          <cell r="E117">
            <v>44837</v>
          </cell>
          <cell r="G117">
            <v>4.9651693371002413E-4</v>
          </cell>
        </row>
        <row r="118">
          <cell r="D118">
            <v>44838</v>
          </cell>
          <cell r="E118">
            <v>44846</v>
          </cell>
          <cell r="G118">
            <v>1.1767451328927574E-3</v>
          </cell>
        </row>
        <row r="119">
          <cell r="D119">
            <v>44847</v>
          </cell>
          <cell r="E119">
            <v>44900</v>
          </cell>
          <cell r="G119">
            <v>5.6453975362829745E-3</v>
          </cell>
        </row>
        <row r="120">
          <cell r="D120">
            <v>44901</v>
          </cell>
          <cell r="E120">
            <v>44908</v>
          </cell>
          <cell r="G120">
            <v>1.6550564457000805E-4</v>
          </cell>
        </row>
        <row r="121">
          <cell r="D121">
            <v>44909</v>
          </cell>
          <cell r="E121">
            <v>44918</v>
          </cell>
          <cell r="G121">
            <v>0</v>
          </cell>
        </row>
        <row r="122">
          <cell r="D122">
            <v>44919</v>
          </cell>
          <cell r="E122">
            <v>44929</v>
          </cell>
          <cell r="G122">
            <v>0</v>
          </cell>
        </row>
        <row r="123">
          <cell r="D123">
            <v>44930</v>
          </cell>
          <cell r="E123">
            <v>44940</v>
          </cell>
          <cell r="G123">
            <v>0</v>
          </cell>
        </row>
        <row r="124">
          <cell r="D124">
            <v>44942</v>
          </cell>
          <cell r="E124">
            <v>44947</v>
          </cell>
          <cell r="G124">
            <v>1.8205620902700887E-3</v>
          </cell>
        </row>
        <row r="125">
          <cell r="D125">
            <v>44951</v>
          </cell>
          <cell r="E125">
            <v>44960</v>
          </cell>
          <cell r="G125">
            <v>2.4660341040931202E-2</v>
          </cell>
        </row>
        <row r="126">
          <cell r="D126">
            <v>44963</v>
          </cell>
          <cell r="E126">
            <v>44965</v>
          </cell>
          <cell r="G126">
            <v>8.1097765839303945E-3</v>
          </cell>
        </row>
        <row r="127">
          <cell r="D127">
            <v>44966</v>
          </cell>
          <cell r="E127">
            <v>44970</v>
          </cell>
          <cell r="G127">
            <v>6.6202257828003222E-4</v>
          </cell>
        </row>
        <row r="129">
          <cell r="D129">
            <v>44799</v>
          </cell>
          <cell r="E129">
            <v>45000</v>
          </cell>
          <cell r="G129">
            <v>1.7874609613560868E-2</v>
          </cell>
        </row>
        <row r="130">
          <cell r="D130">
            <v>44971</v>
          </cell>
          <cell r="E130">
            <v>45031</v>
          </cell>
          <cell r="G130">
            <v>8.6062935176404193E-3</v>
          </cell>
        </row>
        <row r="131">
          <cell r="D131">
            <v>44852</v>
          </cell>
          <cell r="E131">
            <v>45001</v>
          </cell>
          <cell r="G131">
            <v>0</v>
          </cell>
        </row>
        <row r="132">
          <cell r="D132">
            <v>44382</v>
          </cell>
          <cell r="E132">
            <v>45001</v>
          </cell>
          <cell r="G132">
            <v>4.4686524033902171E-3</v>
          </cell>
        </row>
        <row r="133">
          <cell r="D133">
            <v>44971</v>
          </cell>
          <cell r="E133">
            <v>45001</v>
          </cell>
          <cell r="G133">
            <v>4.4686524033902171E-3</v>
          </cell>
        </row>
        <row r="134">
          <cell r="D134">
            <v>44706</v>
          </cell>
          <cell r="E134">
            <v>45001</v>
          </cell>
          <cell r="G134">
            <v>4.4686524033902171E-3</v>
          </cell>
        </row>
        <row r="135">
          <cell r="D135">
            <v>44706</v>
          </cell>
          <cell r="E135">
            <v>45001</v>
          </cell>
          <cell r="G135">
            <v>4.4686524033902171E-3</v>
          </cell>
        </row>
        <row r="136">
          <cell r="D136">
            <v>44706</v>
          </cell>
          <cell r="E136">
            <v>45001</v>
          </cell>
          <cell r="G136">
            <v>4.4686524033902171E-3</v>
          </cell>
        </row>
        <row r="137">
          <cell r="D137">
            <v>44706</v>
          </cell>
          <cell r="E137">
            <v>45012</v>
          </cell>
          <cell r="G137">
            <v>5.95820320452029E-3</v>
          </cell>
        </row>
        <row r="138">
          <cell r="D138">
            <v>44706</v>
          </cell>
          <cell r="E138">
            <v>45030</v>
          </cell>
          <cell r="G138">
            <v>8.440787873070411E-3</v>
          </cell>
        </row>
        <row r="139">
          <cell r="D139">
            <v>44802</v>
          </cell>
          <cell r="E139">
            <v>45031</v>
          </cell>
          <cell r="G139">
            <v>8.6062935176404193E-3</v>
          </cell>
        </row>
        <row r="140">
          <cell r="D140">
            <v>44782</v>
          </cell>
          <cell r="E140">
            <v>44995</v>
          </cell>
          <cell r="G140">
            <v>1.4895508011300724E-2</v>
          </cell>
        </row>
        <row r="141">
          <cell r="D141">
            <v>44706</v>
          </cell>
          <cell r="E141">
            <v>45031</v>
          </cell>
          <cell r="G141">
            <v>8.6062935176404193E-3</v>
          </cell>
        </row>
        <row r="142">
          <cell r="D142">
            <v>45086</v>
          </cell>
          <cell r="E142">
            <v>45087</v>
          </cell>
          <cell r="G142">
            <v>1.1585395119900564E-2</v>
          </cell>
        </row>
        <row r="143">
          <cell r="D143">
            <v>45087</v>
          </cell>
          <cell r="E143">
            <v>45087</v>
          </cell>
          <cell r="G143">
            <v>1.274393463189062E-2</v>
          </cell>
        </row>
        <row r="146">
          <cell r="D146">
            <v>45001</v>
          </cell>
          <cell r="E146">
            <v>45066</v>
          </cell>
          <cell r="G146">
            <v>8.9373048067804342E-3</v>
          </cell>
        </row>
        <row r="147">
          <cell r="D147">
            <v>45033</v>
          </cell>
          <cell r="E147">
            <v>45065</v>
          </cell>
          <cell r="G147">
            <v>4.4686524033902171E-3</v>
          </cell>
        </row>
        <row r="148">
          <cell r="D148">
            <v>45002</v>
          </cell>
          <cell r="E148">
            <v>45068</v>
          </cell>
          <cell r="G148">
            <v>8.9373048067804342E-3</v>
          </cell>
        </row>
        <row r="149">
          <cell r="D149">
            <v>45002</v>
          </cell>
          <cell r="E149">
            <v>45044</v>
          </cell>
          <cell r="G149">
            <v>5.7926975599502818E-3</v>
          </cell>
        </row>
        <row r="150">
          <cell r="D150">
            <v>45002</v>
          </cell>
          <cell r="E150">
            <v>45098</v>
          </cell>
          <cell r="G150">
            <v>1.3240451565600645E-2</v>
          </cell>
        </row>
        <row r="151">
          <cell r="D151">
            <v>45002</v>
          </cell>
          <cell r="E151">
            <v>45068</v>
          </cell>
          <cell r="G151">
            <v>8.9373048067804342E-3</v>
          </cell>
        </row>
        <row r="152">
          <cell r="D152">
            <v>45048</v>
          </cell>
          <cell r="E152">
            <v>45111</v>
          </cell>
          <cell r="G152">
            <v>8.9373048067804342E-3</v>
          </cell>
        </row>
        <row r="153">
          <cell r="D153">
            <v>45002</v>
          </cell>
          <cell r="E153">
            <v>45098</v>
          </cell>
          <cell r="G153">
            <v>1.3240451565600645E-2</v>
          </cell>
        </row>
        <row r="154">
          <cell r="D154">
            <v>45013</v>
          </cell>
          <cell r="E154">
            <v>45089</v>
          </cell>
          <cell r="G154">
            <v>1.0426855607910507E-2</v>
          </cell>
        </row>
        <row r="155">
          <cell r="D155">
            <v>45069</v>
          </cell>
          <cell r="E155">
            <v>45163</v>
          </cell>
          <cell r="G155">
            <v>1.3240451565600645E-2</v>
          </cell>
        </row>
        <row r="156">
          <cell r="D156">
            <v>45033</v>
          </cell>
          <cell r="E156">
            <v>45076</v>
          </cell>
          <cell r="G156">
            <v>5.95820320452029E-3</v>
          </cell>
        </row>
        <row r="157">
          <cell r="D157">
            <v>44996</v>
          </cell>
          <cell r="E157">
            <v>45051</v>
          </cell>
          <cell r="G157">
            <v>7.4477540056503621E-3</v>
          </cell>
        </row>
        <row r="158">
          <cell r="D158">
            <v>45033</v>
          </cell>
          <cell r="E158">
            <v>45097</v>
          </cell>
          <cell r="G158">
            <v>8.9373048067804342E-3</v>
          </cell>
        </row>
        <row r="160">
          <cell r="D160">
            <v>45131</v>
          </cell>
          <cell r="E160">
            <v>45190</v>
          </cell>
          <cell r="G160">
            <v>8.440787873070411E-3</v>
          </cell>
        </row>
        <row r="161">
          <cell r="D161">
            <v>45164</v>
          </cell>
          <cell r="E161">
            <v>45216</v>
          </cell>
          <cell r="G161">
            <v>7.4477540056503621E-3</v>
          </cell>
        </row>
        <row r="162">
          <cell r="D162">
            <v>45112</v>
          </cell>
          <cell r="E162">
            <v>45164</v>
          </cell>
          <cell r="G162">
            <v>7.4477540056503621E-3</v>
          </cell>
        </row>
        <row r="163">
          <cell r="D163">
            <v>45219</v>
          </cell>
          <cell r="E163">
            <v>45223</v>
          </cell>
          <cell r="G163">
            <v>6.6202257828003222E-4</v>
          </cell>
        </row>
        <row r="165">
          <cell r="D165">
            <v>45191</v>
          </cell>
          <cell r="E165">
            <v>45191</v>
          </cell>
          <cell r="G165">
            <v>1.4730002366730718E-4</v>
          </cell>
        </row>
        <row r="166">
          <cell r="D166">
            <v>45224</v>
          </cell>
          <cell r="E166">
            <v>45293</v>
          </cell>
          <cell r="G166">
            <v>5.7099447376652776E-2</v>
          </cell>
        </row>
        <row r="167">
          <cell r="D167">
            <v>45224</v>
          </cell>
          <cell r="E167">
            <v>45293</v>
          </cell>
          <cell r="G167">
            <v>9.4338217404904591E-3</v>
          </cell>
        </row>
        <row r="168">
          <cell r="D168">
            <v>45224</v>
          </cell>
          <cell r="E168">
            <v>45293</v>
          </cell>
          <cell r="G168">
            <v>0</v>
          </cell>
        </row>
        <row r="169">
          <cell r="D169">
            <v>45224</v>
          </cell>
          <cell r="E169">
            <v>45266</v>
          </cell>
          <cell r="G169">
            <v>5.95820320452029E-3</v>
          </cell>
        </row>
        <row r="170">
          <cell r="D170">
            <v>45224</v>
          </cell>
          <cell r="E170">
            <v>45266</v>
          </cell>
          <cell r="G170">
            <v>5.95820320452029E-3</v>
          </cell>
        </row>
        <row r="172">
          <cell r="D172">
            <v>45294</v>
          </cell>
          <cell r="E172">
            <v>45296</v>
          </cell>
          <cell r="G172">
            <v>4.9651693371002413E-4</v>
          </cell>
        </row>
        <row r="173">
          <cell r="D173">
            <v>45297</v>
          </cell>
          <cell r="E173">
            <v>45297</v>
          </cell>
          <cell r="G173">
            <v>1.6550564457000805E-4</v>
          </cell>
        </row>
        <row r="174">
          <cell r="D174">
            <v>45299</v>
          </cell>
          <cell r="E174">
            <v>45342</v>
          </cell>
          <cell r="G174">
            <v>5.95820320452029E-3</v>
          </cell>
        </row>
        <row r="175">
          <cell r="D175">
            <v>45310</v>
          </cell>
          <cell r="E175">
            <v>45427</v>
          </cell>
          <cell r="G175">
            <v>1.5888541878720772E-2</v>
          </cell>
        </row>
        <row r="176">
          <cell r="D176">
            <v>45299</v>
          </cell>
          <cell r="E176">
            <v>45318</v>
          </cell>
          <cell r="G176">
            <v>2.979101602260145E-3</v>
          </cell>
        </row>
        <row r="177">
          <cell r="D177">
            <v>45299</v>
          </cell>
          <cell r="E177">
            <v>45318</v>
          </cell>
          <cell r="G177">
            <v>2.979101602260145E-3</v>
          </cell>
        </row>
        <row r="178">
          <cell r="D178">
            <v>45299</v>
          </cell>
          <cell r="E178">
            <v>45318</v>
          </cell>
          <cell r="G178">
            <v>2.979101602260145E-3</v>
          </cell>
        </row>
        <row r="179">
          <cell r="D179">
            <v>45299</v>
          </cell>
          <cell r="E179">
            <v>45329</v>
          </cell>
          <cell r="G179">
            <v>4.4686524033902171E-3</v>
          </cell>
        </row>
        <row r="180">
          <cell r="D180">
            <v>45299</v>
          </cell>
          <cell r="E180">
            <v>45329</v>
          </cell>
          <cell r="G180">
            <v>4.4686524033902171E-3</v>
          </cell>
        </row>
        <row r="181">
          <cell r="D181">
            <v>45299</v>
          </cell>
          <cell r="E181">
            <v>45318</v>
          </cell>
          <cell r="G181">
            <v>2.979101602260145E-3</v>
          </cell>
        </row>
        <row r="182">
          <cell r="D182">
            <v>45299</v>
          </cell>
          <cell r="E182">
            <v>45358</v>
          </cell>
          <cell r="G182">
            <v>8.2752822285004028E-3</v>
          </cell>
        </row>
        <row r="183">
          <cell r="D183">
            <v>45299</v>
          </cell>
          <cell r="E183">
            <v>45328</v>
          </cell>
          <cell r="G183">
            <v>4.3031467588202097E-3</v>
          </cell>
        </row>
        <row r="184">
          <cell r="D184">
            <v>45299</v>
          </cell>
          <cell r="E184">
            <v>45328</v>
          </cell>
          <cell r="G184">
            <v>4.3031467588202097E-3</v>
          </cell>
        </row>
        <row r="185">
          <cell r="D185">
            <v>45299</v>
          </cell>
          <cell r="E185">
            <v>45328</v>
          </cell>
          <cell r="G185">
            <v>4.3031467588202097E-3</v>
          </cell>
        </row>
        <row r="186">
          <cell r="D186">
            <v>45299</v>
          </cell>
          <cell r="E186">
            <v>45328</v>
          </cell>
          <cell r="G186">
            <v>4.3031467588202097E-3</v>
          </cell>
        </row>
        <row r="187">
          <cell r="D187">
            <v>45299</v>
          </cell>
          <cell r="E187">
            <v>45328</v>
          </cell>
          <cell r="G187">
            <v>4.3031467588202097E-3</v>
          </cell>
        </row>
        <row r="188">
          <cell r="D188">
            <v>45299</v>
          </cell>
          <cell r="E188">
            <v>45325</v>
          </cell>
          <cell r="G188">
            <v>3.9721354696801931E-3</v>
          </cell>
        </row>
        <row r="189">
          <cell r="D189">
            <v>45299</v>
          </cell>
          <cell r="E189">
            <v>45325</v>
          </cell>
          <cell r="G189">
            <v>3.9721354696801931E-3</v>
          </cell>
        </row>
        <row r="190">
          <cell r="D190">
            <v>45299</v>
          </cell>
          <cell r="E190">
            <v>45343</v>
          </cell>
          <cell r="G190">
            <v>6.1237088490902983E-3</v>
          </cell>
        </row>
        <row r="191">
          <cell r="D191">
            <v>45299</v>
          </cell>
          <cell r="E191">
            <v>45344</v>
          </cell>
          <cell r="G191">
            <v>6.2892144936603058E-3</v>
          </cell>
        </row>
        <row r="192">
          <cell r="D192">
            <v>45299</v>
          </cell>
          <cell r="E192">
            <v>45358</v>
          </cell>
          <cell r="G192">
            <v>8.2752822285004028E-3</v>
          </cell>
        </row>
        <row r="194">
          <cell r="D194">
            <v>45442</v>
          </cell>
          <cell r="E194">
            <v>45442</v>
          </cell>
          <cell r="G194">
            <v>1.6550564457000805E-4</v>
          </cell>
        </row>
        <row r="196">
          <cell r="D196">
            <v>45443</v>
          </cell>
          <cell r="E196">
            <v>45472</v>
          </cell>
          <cell r="G196">
            <v>4.1376411142502014E-3</v>
          </cell>
        </row>
        <row r="197">
          <cell r="D197">
            <v>45474</v>
          </cell>
          <cell r="E197">
            <v>45504</v>
          </cell>
          <cell r="G197">
            <v>4.4686524033902171E-3</v>
          </cell>
        </row>
        <row r="198">
          <cell r="D198">
            <v>45505</v>
          </cell>
          <cell r="E198">
            <v>45527</v>
          </cell>
          <cell r="G198">
            <v>3.3101128914001612E-3</v>
          </cell>
        </row>
        <row r="199">
          <cell r="D199">
            <v>45528</v>
          </cell>
          <cell r="E199">
            <v>45548</v>
          </cell>
          <cell r="G199">
            <v>2.979101602260145E-3</v>
          </cell>
        </row>
        <row r="201">
          <cell r="D201">
            <v>45549</v>
          </cell>
          <cell r="E201">
            <v>45642</v>
          </cell>
          <cell r="G201">
            <v>1.3240451565600645E-2</v>
          </cell>
        </row>
        <row r="202">
          <cell r="D202">
            <v>45549</v>
          </cell>
          <cell r="E202">
            <v>45642</v>
          </cell>
          <cell r="G202">
            <v>1.3240451565600645E-2</v>
          </cell>
        </row>
        <row r="203">
          <cell r="D203">
            <v>45549</v>
          </cell>
          <cell r="E203">
            <v>45642</v>
          </cell>
          <cell r="G203">
            <v>1.3240451565600645E-2</v>
          </cell>
        </row>
        <row r="204">
          <cell r="D204">
            <v>45643</v>
          </cell>
          <cell r="E204">
            <v>45735</v>
          </cell>
          <cell r="G204">
            <v>1.3240451565600645E-2</v>
          </cell>
        </row>
        <row r="205">
          <cell r="D205">
            <v>45737</v>
          </cell>
          <cell r="E205">
            <v>45847</v>
          </cell>
          <cell r="G205">
            <v>1.5723036234150764E-2</v>
          </cell>
        </row>
        <row r="206">
          <cell r="D206">
            <v>45848</v>
          </cell>
          <cell r="E206">
            <v>45937</v>
          </cell>
          <cell r="G206">
            <v>8.9373048067804342E-3</v>
          </cell>
        </row>
      </sheetData>
      <sheetData sheetId="2">
        <row r="2">
          <cell r="A2" t="str">
            <v xml:space="preserve">SIWMF Submission </v>
          </cell>
        </row>
        <row r="7">
          <cell r="C7" t="str">
            <v>SIWMF Baseline</v>
          </cell>
        </row>
        <row r="8">
          <cell r="A8" t="str">
            <v>A1000</v>
          </cell>
          <cell r="C8" t="str">
            <v>Contract Award</v>
          </cell>
        </row>
        <row r="9">
          <cell r="A9" t="str">
            <v>A1020.14</v>
          </cell>
          <cell r="C9" t="str">
            <v>Detailed Design for weighbridge MD2/AD2 Review and Acceptance by SO</v>
          </cell>
        </row>
        <row r="10">
          <cell r="A10" t="str">
            <v>A1070.F.05</v>
          </cell>
          <cell r="C10" t="str">
            <v>Successful Completion of Factory acceptance Test(FAT)</v>
          </cell>
        </row>
        <row r="11">
          <cell r="A11" t="str">
            <v>A1080.D.06</v>
          </cell>
          <cell r="C11" t="str">
            <v>Time for Delivery of Weighbridge System</v>
          </cell>
        </row>
        <row r="12">
          <cell r="A12" t="str">
            <v>A1090.I.22</v>
          </cell>
          <cell r="C12" t="str">
            <v>Completion of Weighbridge Mechanical , EIAC and Zonal Detection System</v>
          </cell>
        </row>
        <row r="13">
          <cell r="A13" t="str">
            <v>A1110.S.04</v>
          </cell>
          <cell r="C13" t="str">
            <v>Successful SAT of Weighbridge system</v>
          </cell>
        </row>
        <row r="14">
          <cell r="A14" t="str">
            <v>A1130.15</v>
          </cell>
          <cell r="C14" t="str">
            <v>Successful Completion of Trial Operation</v>
          </cell>
        </row>
        <row r="15">
          <cell r="A15" t="str">
            <v>A1160</v>
          </cell>
          <cell r="C15" t="str">
            <v>Completion of the whole of the Sub-Contract Works</v>
          </cell>
        </row>
        <row r="16">
          <cell r="C16" t="str">
            <v>Process Engineering (Detailed Design Milestone)</v>
          </cell>
        </row>
        <row r="17">
          <cell r="A17" t="str">
            <v>A1010</v>
          </cell>
          <cell r="C17" t="str">
            <v>MD1 AD1 Preparation, Submission, Review &amp; Acceptance</v>
          </cell>
        </row>
        <row r="18">
          <cell r="A18" t="str">
            <v>A1020</v>
          </cell>
          <cell r="C18" t="str">
            <v>MD2 ED1 AD2 Preparation, Submission, Review &amp; Acceptance</v>
          </cell>
        </row>
        <row r="19">
          <cell r="A19" t="str">
            <v>A1020.1</v>
          </cell>
          <cell r="C19" t="str">
            <v>MD2 Weighbridge System Package (Rev 0a) Preparation by ALC</v>
          </cell>
        </row>
        <row r="20">
          <cell r="A20" t="str">
            <v>A1020.2</v>
          </cell>
          <cell r="C20" t="str">
            <v>MD2 Weighbridge System Package (Rev 0a) Submission to KSPL</v>
          </cell>
        </row>
        <row r="21">
          <cell r="A21" t="str">
            <v>A1020.3</v>
          </cell>
          <cell r="C21" t="str">
            <v>MD2 Weighbridge System Package (Rev 0a) Review (1st Round)</v>
          </cell>
        </row>
        <row r="22">
          <cell r="A22" t="str">
            <v>A1020.4</v>
          </cell>
          <cell r="C22" t="str">
            <v>MD2 Weighbridge System Package (Rev 0a) ALC Ammendment (1st Round)</v>
          </cell>
        </row>
        <row r="23">
          <cell r="A23" t="str">
            <v>A1020.5</v>
          </cell>
          <cell r="C23" t="str">
            <v>MD2 Weighbridge System Package (Rev 0b) Review (2nd Round)</v>
          </cell>
        </row>
        <row r="24">
          <cell r="A24" t="str">
            <v>A1020.6</v>
          </cell>
          <cell r="C24" t="str">
            <v>MD2 Weighbridge System Package (Rev 0b) ALC Ammendment (2nd Round)</v>
          </cell>
        </row>
        <row r="25">
          <cell r="A25" t="str">
            <v>A1020.7</v>
          </cell>
          <cell r="C25" t="str">
            <v>MD2 Weighbridge System Package (Rev 0) Review by SO/ NEA</v>
          </cell>
        </row>
        <row r="26">
          <cell r="A26" t="str">
            <v>A1020.1</v>
          </cell>
          <cell r="C26" t="str">
            <v>ED1 AD2 Weighbridge System Package (Rev 0a) Preparation by ALC</v>
          </cell>
        </row>
        <row r="27">
          <cell r="A27" t="str">
            <v>A1020.2</v>
          </cell>
          <cell r="C27" t="str">
            <v>ED1 AD2 Weighbridge System Package (Rev 0a) Submission to KSPL</v>
          </cell>
        </row>
        <row r="28">
          <cell r="A28" t="str">
            <v>A1020.3</v>
          </cell>
          <cell r="C28" t="str">
            <v>ED1 AD2 Weighbridge System Package (Rev 0a) Review (1st Round)</v>
          </cell>
        </row>
        <row r="29">
          <cell r="A29" t="str">
            <v>A1020.4</v>
          </cell>
          <cell r="C29" t="str">
            <v>ED1 AD2 Weighbridge System Package (Rev 0a) ALC Ammendment (1st Round)</v>
          </cell>
        </row>
        <row r="30">
          <cell r="A30" t="str">
            <v>A1020.5</v>
          </cell>
          <cell r="C30" t="str">
            <v>ED1 AD2 Weighbridge System Package (Rev 0b) Review (2nd Round)</v>
          </cell>
        </row>
        <row r="31">
          <cell r="A31" t="str">
            <v>A1020.6</v>
          </cell>
          <cell r="C31" t="str">
            <v>ED1 AD2 Weighbridge System Package (Rev 0b) ALC Ammendment (2nd Round)</v>
          </cell>
        </row>
        <row r="32">
          <cell r="A32" t="str">
            <v>A1020.7</v>
          </cell>
          <cell r="C32" t="str">
            <v>ED1 AD2 Weighbridge System Package (Rev 0) Review by SO/ NEA</v>
          </cell>
        </row>
        <row r="33">
          <cell r="A33" t="str">
            <v>A1020.8</v>
          </cell>
          <cell r="C33" t="str">
            <v>MD2 Weighbridge System Package (Rev 1a) Ammendment by ALC on SO Comments and Re-submission to KSPL</v>
          </cell>
        </row>
        <row r="34">
          <cell r="A34" t="str">
            <v>A1020.9</v>
          </cell>
          <cell r="C34" t="str">
            <v>MD2 Weighbridge System Package (Rev 1a) Review (1st Round)</v>
          </cell>
        </row>
        <row r="35">
          <cell r="A35" t="str">
            <v>A1020.10</v>
          </cell>
          <cell r="C35" t="str">
            <v>MD2 Weighbridge System Package (Rev 1a) ALC Ammendment (1st Round)</v>
          </cell>
        </row>
        <row r="36">
          <cell r="A36" t="str">
            <v>A1020.11</v>
          </cell>
          <cell r="C36" t="str">
            <v>MD2 Weighbridge System Package (Rev 1b) Review (2nd Round)</v>
          </cell>
        </row>
        <row r="37">
          <cell r="A37" t="str">
            <v>A1020.12</v>
          </cell>
          <cell r="C37" t="str">
            <v>MD2 Weighbridge System Package (Rev 1b) ALC Ammendment (2nd Round)</v>
          </cell>
        </row>
        <row r="38">
          <cell r="A38" t="str">
            <v>A1020.13</v>
          </cell>
          <cell r="C38" t="str">
            <v>MD2 Weighbridge System Package (Rev 1) Review by SO/ NEA(Accepted with comments , Re-submission Required)</v>
          </cell>
        </row>
        <row r="39">
          <cell r="A39" t="str">
            <v>A1020.14</v>
          </cell>
          <cell r="C39" t="str">
            <v>MD2 Weighbridge System Package (Rev XX) Review by SO/ NEA(Accepted with comments , No Re-submission Required)</v>
          </cell>
        </row>
        <row r="40">
          <cell r="A40" t="str">
            <v>A1020.8</v>
          </cell>
          <cell r="C40" t="str">
            <v>ED1 AD2 Weighbridge System Package (Rev 1a) Ammendment by ALC on SO Comments and Re-submission to KSPL</v>
          </cell>
        </row>
        <row r="41">
          <cell r="A41" t="str">
            <v>A1020.9</v>
          </cell>
          <cell r="C41" t="str">
            <v>ED1 AD2 Weighbridge System Package (Rev 1a) Review (1st Round)</v>
          </cell>
        </row>
        <row r="42">
          <cell r="A42" t="str">
            <v>A1020.10</v>
          </cell>
          <cell r="C42" t="str">
            <v>ED1 AD2 Weighbridge System Package (Rev 1a) ALC Ammendment (1st Round)</v>
          </cell>
        </row>
        <row r="43">
          <cell r="A43" t="str">
            <v>A1020.11</v>
          </cell>
          <cell r="C43" t="str">
            <v>ED1 AD2 Weighbridge System Package (Rev 1b) Review (2nd Round)</v>
          </cell>
        </row>
        <row r="44">
          <cell r="A44" t="str">
            <v>A1020.12</v>
          </cell>
          <cell r="C44" t="str">
            <v>ED1 AD2 Weighbridge System Package (Rev 1b) ALC Ammendment (2nd Round)</v>
          </cell>
        </row>
        <row r="45">
          <cell r="A45" t="str">
            <v>A1020.13</v>
          </cell>
          <cell r="C45" t="str">
            <v>ED1 AD2 Weighbridge System Package (Rev 1) Review by SO/ NEA</v>
          </cell>
        </row>
        <row r="46">
          <cell r="A46" t="str">
            <v>A1020.14</v>
          </cell>
          <cell r="C46" t="str">
            <v>AD2 Weighbridge System Package (Rev 1) Review by SO/ NEA(Accepted with comments , Re-submission Required)</v>
          </cell>
        </row>
        <row r="47">
          <cell r="A47" t="str">
            <v>A1020.15</v>
          </cell>
          <cell r="C47" t="str">
            <v>AD2 Weighbridge System Package (Rev XX) Review by SO/ NEA(Accepted with comments , Re-submission Required)</v>
          </cell>
        </row>
        <row r="48">
          <cell r="A48" t="str">
            <v>A1030</v>
          </cell>
          <cell r="C48" t="str">
            <v>MD3 ED2 ED3 AD3 Preparation, Submission, Review &amp; Acceptance</v>
          </cell>
        </row>
        <row r="49">
          <cell r="A49" t="str">
            <v>A1030.1</v>
          </cell>
          <cell r="C49" t="str">
            <v>MD3 Preparation, Submission, Review &amp; Acceptance</v>
          </cell>
        </row>
        <row r="50">
          <cell r="A50" t="str">
            <v>A1030.1</v>
          </cell>
          <cell r="C50" t="str">
            <v>MD3 Weighbridge System Package (Rev 0a) Preparation by ALC</v>
          </cell>
        </row>
        <row r="51">
          <cell r="A51" t="str">
            <v>A1030.2</v>
          </cell>
          <cell r="C51" t="str">
            <v>MD3 Weighbridge System Package (Rev 0a) Submission to KSPL</v>
          </cell>
        </row>
        <row r="52">
          <cell r="A52" t="str">
            <v>A1030.3</v>
          </cell>
          <cell r="C52" t="str">
            <v>MD3 Weighbridge System Package (Rev 0a) Review (1st Round)</v>
          </cell>
        </row>
        <row r="53">
          <cell r="A53" t="str">
            <v>A1030.4</v>
          </cell>
          <cell r="C53" t="str">
            <v>MD3 Weighbridge System Package (Rev 0a) ALC Ammendment (1st Round)</v>
          </cell>
        </row>
        <row r="54">
          <cell r="A54" t="str">
            <v>A1030.5</v>
          </cell>
          <cell r="C54" t="str">
            <v>MD3 Weighbridge System Package (Rev 0b) Review (2nd Round)</v>
          </cell>
        </row>
        <row r="55">
          <cell r="A55" t="str">
            <v>A1030.6</v>
          </cell>
          <cell r="C55" t="str">
            <v>MD3 Weighbridge System Package (Rev 0b) ALC Ammendment (2nd Round)</v>
          </cell>
        </row>
        <row r="56">
          <cell r="A56" t="str">
            <v>A1030.7</v>
          </cell>
          <cell r="C56" t="str">
            <v>MD3 Weighbridge System Package (Rev 0) Review by SO/ NEA</v>
          </cell>
        </row>
        <row r="57">
          <cell r="A57" t="str">
            <v>A1030.8</v>
          </cell>
          <cell r="C57" t="str">
            <v>MD3 Weighbridge System Package (Rev 1a) Ammendment by ALC on SO comments and Re-submission to KSPL</v>
          </cell>
        </row>
        <row r="58">
          <cell r="A58" t="str">
            <v>A1030.9</v>
          </cell>
          <cell r="C58" t="str">
            <v>MD3 Weighbridge System Package (Rev 1a) Review (1st Round)</v>
          </cell>
        </row>
        <row r="59">
          <cell r="A59" t="str">
            <v>A1030.10</v>
          </cell>
          <cell r="C59" t="str">
            <v>MD3 Weighbridge System Package (Rev 1a) ALC Ammendment (1st Round)</v>
          </cell>
        </row>
        <row r="60">
          <cell r="A60" t="str">
            <v>A1030.11</v>
          </cell>
          <cell r="C60" t="str">
            <v>MD3 Weighbridge System Package (Rev 1b) Review (2nd Round)</v>
          </cell>
        </row>
        <row r="61">
          <cell r="A61" t="str">
            <v>A1030.12</v>
          </cell>
          <cell r="C61" t="str">
            <v>MD3 Weighbridge System Package (Rev 1b) ALC Ammendment (2nd Round)</v>
          </cell>
        </row>
        <row r="62">
          <cell r="A62" t="str">
            <v>A1030.13</v>
          </cell>
          <cell r="C62" t="str">
            <v>MD3 Weighbridge System Package (Rev 1) Review by SO/ NEA</v>
          </cell>
        </row>
        <row r="63">
          <cell r="A63" t="str">
            <v>A1030.14</v>
          </cell>
          <cell r="C63" t="str">
            <v>MD3 Weighbridge System Package (Review 2 and above monitored accepted with comments, No Re-submission Required)</v>
          </cell>
        </row>
        <row r="64">
          <cell r="A64" t="str">
            <v>A1030.2</v>
          </cell>
          <cell r="C64" t="str">
            <v>ED2 Preparation, Submission, Review &amp; Acceptance</v>
          </cell>
        </row>
        <row r="65">
          <cell r="A65" t="str">
            <v>A1030.2.1</v>
          </cell>
          <cell r="C65" t="str">
            <v>ED2 Weighbridge System Package (Rev 0a) Preparation by ALC</v>
          </cell>
        </row>
        <row r="66">
          <cell r="A66" t="str">
            <v>A1030.2.2</v>
          </cell>
          <cell r="C66" t="str">
            <v>ED2 Weighbridge System Package (Rev 0a) Submission to KSPL</v>
          </cell>
        </row>
        <row r="67">
          <cell r="A67" t="str">
            <v>A1030.2.3</v>
          </cell>
          <cell r="C67" t="str">
            <v>ED2 Weighbridge System Package (Rev 0a) Review (1st Round)</v>
          </cell>
        </row>
        <row r="68">
          <cell r="A68" t="str">
            <v>A1030.2.4</v>
          </cell>
          <cell r="C68" t="str">
            <v>ED2 Weighbridge System Package (Rev 0a) ALC Ammendment (1st Round)</v>
          </cell>
        </row>
        <row r="69">
          <cell r="A69" t="str">
            <v>A1030.2.5</v>
          </cell>
          <cell r="C69" t="str">
            <v>ED2 Weighbridge System Package (Rev 0b) Review (2nd Round)</v>
          </cell>
        </row>
        <row r="70">
          <cell r="A70" t="str">
            <v>A1030.2.6</v>
          </cell>
          <cell r="C70" t="str">
            <v>ED2 Weighbridge System Package (Rev 0b) ALC Ammendment (2nd Round)</v>
          </cell>
        </row>
        <row r="71">
          <cell r="A71" t="str">
            <v>A1030.2.7</v>
          </cell>
          <cell r="C71" t="str">
            <v>ED2 Weighbridge System Package (Rev 0) Review by SO/ NEA</v>
          </cell>
        </row>
        <row r="72">
          <cell r="A72" t="str">
            <v>A1030.2.8</v>
          </cell>
          <cell r="C72" t="str">
            <v>ED2 Weighbridge System Package (Rev 1a) Ammendment by ALC on SO comments and Re-submission to KSPL</v>
          </cell>
        </row>
        <row r="73">
          <cell r="A73" t="str">
            <v>A1030.2.9</v>
          </cell>
          <cell r="C73" t="str">
            <v>ED2 Weighbridge System Package (Rev 1a) Review (1st Round)</v>
          </cell>
        </row>
        <row r="74">
          <cell r="A74" t="str">
            <v>A1030.2.10</v>
          </cell>
          <cell r="C74" t="str">
            <v>ED2 Weighbridge System Package (Rev 1a) ALC Ammendment (1st Round)</v>
          </cell>
        </row>
        <row r="75">
          <cell r="A75" t="str">
            <v>A1030.2.11</v>
          </cell>
          <cell r="C75" t="str">
            <v>ED2 Weighbridge System Package (Rev 1b) Review (2nd Round)</v>
          </cell>
        </row>
        <row r="76">
          <cell r="A76" t="str">
            <v>A1030.2.12</v>
          </cell>
          <cell r="C76" t="str">
            <v>ED2 Weighbridge System Package (Rev 1b) ALC Ammendment (2nd Round)</v>
          </cell>
        </row>
        <row r="77">
          <cell r="A77" t="str">
            <v>A1030.2.13</v>
          </cell>
          <cell r="C77" t="str">
            <v>ED2 Weighbridge System Package (Rev 1) Review by SO/ NEA</v>
          </cell>
        </row>
        <row r="78">
          <cell r="A78" t="str">
            <v>A1030.2.14</v>
          </cell>
          <cell r="C78" t="str">
            <v>ED2 Weighbridge System Package (Review 2 and above monitored accepted with comments, No Re-submission Required)</v>
          </cell>
        </row>
        <row r="79">
          <cell r="A79" t="str">
            <v>A1030.3</v>
          </cell>
          <cell r="C79" t="str">
            <v>ED3 Preparation, Submission, Review &amp; Acceptance</v>
          </cell>
        </row>
        <row r="80">
          <cell r="A80" t="str">
            <v>A1030.3.1</v>
          </cell>
          <cell r="C80" t="str">
            <v>ED3 Weighbridge System Package (Rev 0a) Preparation by ALC</v>
          </cell>
        </row>
        <row r="81">
          <cell r="A81" t="str">
            <v>A1030.3.2</v>
          </cell>
          <cell r="C81" t="str">
            <v>ED3 Weighbridge System Package (Rev 0a) Submission to KSPL</v>
          </cell>
        </row>
        <row r="82">
          <cell r="A82" t="str">
            <v>A1030.3.3</v>
          </cell>
          <cell r="C82" t="str">
            <v>ED3 Weighbridge System Package (Rev 0a) Review (1st Round)</v>
          </cell>
        </row>
        <row r="83">
          <cell r="A83" t="str">
            <v>A1030.3.4</v>
          </cell>
          <cell r="C83" t="str">
            <v>ED3 Weighbridge System Package (Rev 0a) ALC Ammendment (1st Round)</v>
          </cell>
        </row>
        <row r="84">
          <cell r="A84" t="str">
            <v>A1030.3.5</v>
          </cell>
          <cell r="C84" t="str">
            <v>ED3 Weighbridge System Package (Rev 0b) Review (2nd Round)</v>
          </cell>
        </row>
        <row r="85">
          <cell r="A85" t="str">
            <v>A1030.3.6</v>
          </cell>
          <cell r="C85" t="str">
            <v>ED3 Weighbridge System Package (Rev 0b) ALC Ammendment (2nd Round)</v>
          </cell>
        </row>
        <row r="86">
          <cell r="A86" t="str">
            <v>A1030.3.7</v>
          </cell>
          <cell r="C86" t="str">
            <v>ED3 Weighbridge System Package (Rev 0) Review by SO/ NEA</v>
          </cell>
        </row>
        <row r="87">
          <cell r="A87" t="str">
            <v>A1030.3.8</v>
          </cell>
          <cell r="C87" t="str">
            <v>ED3 Weighbridge System Package (Rev 1a) Ammendment by ALC on SO comments and Re-submission to KSPL</v>
          </cell>
        </row>
        <row r="88">
          <cell r="A88" t="str">
            <v>A1030.3.9</v>
          </cell>
          <cell r="C88" t="str">
            <v>ED3 Weighbridge System Package (Rev 1a) Review (1st Round)</v>
          </cell>
        </row>
        <row r="89">
          <cell r="A89" t="str">
            <v>A1030.3.10</v>
          </cell>
          <cell r="C89" t="str">
            <v>ED3 Weighbridge System Package (Rev 1a) ALC Ammendment (1st Round)</v>
          </cell>
        </row>
        <row r="90">
          <cell r="A90" t="str">
            <v>A1030.3.11</v>
          </cell>
          <cell r="C90" t="str">
            <v>ED3 Weighbridge System Package (Rev 1b) Review (2nd Round)</v>
          </cell>
        </row>
        <row r="91">
          <cell r="A91" t="str">
            <v>A1030.3.12</v>
          </cell>
          <cell r="C91" t="str">
            <v>ED3 Weighbridge System Package (Rev 1b) ALC Ammendment (2nd Round)</v>
          </cell>
        </row>
        <row r="92">
          <cell r="A92" t="str">
            <v>A1030.3.13</v>
          </cell>
          <cell r="C92" t="str">
            <v>ED3 Weighbridge System Package (Rev 1) Review by SO/ NEA</v>
          </cell>
        </row>
        <row r="93">
          <cell r="A93" t="str">
            <v>A1030.3.13</v>
          </cell>
          <cell r="C93" t="str">
            <v>ED3 Weighbridge System Package (Review 2 and above monitored accepted with comments, No Re-submission Required)</v>
          </cell>
        </row>
        <row r="94">
          <cell r="A94" t="str">
            <v>A1030.4</v>
          </cell>
          <cell r="C94" t="str">
            <v>AD3 Preparation, Submission, Review &amp; Acceptance</v>
          </cell>
        </row>
        <row r="95">
          <cell r="A95" t="str">
            <v>A1030.4.1</v>
          </cell>
          <cell r="C95" t="str">
            <v>AD3 Weighbridge System Package (Rev 0a) Preparation by ALC</v>
          </cell>
        </row>
        <row r="96">
          <cell r="A96" t="str">
            <v>A1030.4.2</v>
          </cell>
          <cell r="C96" t="str">
            <v>AD3 Weighbridge System Package (Rev 0a) Submission to KSPL</v>
          </cell>
        </row>
        <row r="97">
          <cell r="A97" t="str">
            <v>A1030.4.3</v>
          </cell>
          <cell r="C97" t="str">
            <v>AD3 Weighbridge System Package (Rev 0a) Review (1st Round)</v>
          </cell>
        </row>
        <row r="98">
          <cell r="A98" t="str">
            <v>A1030.4.4</v>
          </cell>
          <cell r="C98" t="str">
            <v>AD3 Weighbridge System Package (Rev 0a) ALC Ammendment (1st Round)</v>
          </cell>
        </row>
        <row r="99">
          <cell r="A99" t="str">
            <v>A1030.4.5</v>
          </cell>
          <cell r="C99" t="str">
            <v>AD3 Weighbridge System Package (Rev 0b) Review (2nd Round)</v>
          </cell>
        </row>
        <row r="100">
          <cell r="A100" t="str">
            <v>A1030.4.6</v>
          </cell>
          <cell r="C100" t="str">
            <v>AD3 Weighbridge System Package (Rev 0b) ALC Ammendment (2nd Round)</v>
          </cell>
        </row>
        <row r="101">
          <cell r="A101" t="str">
            <v>A1030.4.7</v>
          </cell>
          <cell r="C101" t="str">
            <v>AD3 Weighbridge System Package (Rev 0) Review by SO/ NEA</v>
          </cell>
        </row>
        <row r="102">
          <cell r="A102" t="str">
            <v>A1030.4.8</v>
          </cell>
          <cell r="C102" t="str">
            <v>AD3 Weighbridge System Package (Rev 1a) Ammendment by ALC on SO comments and Re-submission to KSPL</v>
          </cell>
        </row>
        <row r="103">
          <cell r="A103" t="str">
            <v>A1030.4.9</v>
          </cell>
          <cell r="C103" t="str">
            <v>AD3 Weighbridge System Package (Rev 1a) Review (1st Round)</v>
          </cell>
        </row>
        <row r="104">
          <cell r="A104" t="str">
            <v>A1030.4.10</v>
          </cell>
          <cell r="C104" t="str">
            <v>AD3 Weighbridge System Package (Rev 1a) ALC Ammendment (1st Round)</v>
          </cell>
        </row>
        <row r="105">
          <cell r="A105" t="str">
            <v>A1030.4.11</v>
          </cell>
          <cell r="C105" t="str">
            <v>AD3 Weighbridge System Package (Rev 1b) Review (2nd Round)</v>
          </cell>
        </row>
        <row r="106">
          <cell r="A106" t="str">
            <v>A1030.4.12</v>
          </cell>
          <cell r="C106" t="str">
            <v>AD3 Weighbridge System Package (Rev 1b) ALC Ammendment (2nd Round)</v>
          </cell>
        </row>
        <row r="107">
          <cell r="A107" t="str">
            <v>A1030.4.13</v>
          </cell>
          <cell r="C107" t="str">
            <v>AD3 Weighbridge System Package (Rev 1) Review by SO/ NEA</v>
          </cell>
        </row>
        <row r="108">
          <cell r="A108" t="str">
            <v>A1030.4.14</v>
          </cell>
          <cell r="C108" t="str">
            <v>AD3 Weighbridge System Package (Review 2 and above monitored accepted with comments, No Re-submission Required)</v>
          </cell>
        </row>
        <row r="109">
          <cell r="A109" t="str">
            <v>A1085</v>
          </cell>
          <cell r="C109" t="str">
            <v>Traffic Modelling</v>
          </cell>
        </row>
        <row r="110">
          <cell r="A110" t="str">
            <v>A1085.T.01</v>
          </cell>
          <cell r="C110" t="str">
            <v>Award Traffic Modelling Consultant</v>
          </cell>
        </row>
        <row r="111">
          <cell r="A111" t="str">
            <v>A1085.T.02</v>
          </cell>
          <cell r="C111" t="str">
            <v>Kick-off Meeting</v>
          </cell>
        </row>
        <row r="112">
          <cell r="A112" t="str">
            <v>A1085.T.03</v>
          </cell>
          <cell r="C112" t="str">
            <v>First round of model findings in slides [Rev 0a]</v>
          </cell>
        </row>
        <row r="113">
          <cell r="A113" t="str">
            <v>A1085.T.04</v>
          </cell>
          <cell r="C113" t="str">
            <v>Comments on Rev 0a findings (allowing time for possible discussion and presentation)</v>
          </cell>
        </row>
        <row r="114">
          <cell r="A114" t="str">
            <v>A1085.T.05</v>
          </cell>
          <cell r="C114" t="str">
            <v>Second round of model findings in slides [Rev 0b]</v>
          </cell>
        </row>
        <row r="115">
          <cell r="A115" t="str">
            <v>A1085.T.06</v>
          </cell>
          <cell r="C115" t="str">
            <v>Submit to SO/ NEA [Rev 0]</v>
          </cell>
        </row>
        <row r="116">
          <cell r="A116" t="str">
            <v>A1085.T.07</v>
          </cell>
          <cell r="C116" t="str">
            <v>Third round of model findings in slides [Rev 1a]</v>
          </cell>
        </row>
        <row r="117">
          <cell r="A117" t="str">
            <v>A1085.T.08</v>
          </cell>
          <cell r="C117" t="str">
            <v>Comments on Rev 1a findings (allowing time for possible discussion and presentation)</v>
          </cell>
        </row>
        <row r="118">
          <cell r="A118" t="str">
            <v>A1085.T.09</v>
          </cell>
          <cell r="C118" t="str">
            <v>Fourth round of model findings in slides [Rev 1b]</v>
          </cell>
        </row>
        <row r="119">
          <cell r="A119" t="str">
            <v>A1085.T.10</v>
          </cell>
          <cell r="C119" t="str">
            <v>Submit to SO/ NEA [Rev 1]</v>
          </cell>
        </row>
        <row r="120">
          <cell r="A120" t="str">
            <v>A1085.T.11</v>
          </cell>
          <cell r="C120" t="str">
            <v>Fifth round of model findings in slides [Rev 2a]</v>
          </cell>
        </row>
        <row r="121">
          <cell r="A121" t="str">
            <v>A1085.T.12</v>
          </cell>
          <cell r="C121" t="str">
            <v>Comments on Rev 2a findings (allowing time for possible discussion and presentation)</v>
          </cell>
        </row>
        <row r="122">
          <cell r="A122" t="str">
            <v>A1085.T.13</v>
          </cell>
          <cell r="C122" t="str">
            <v>Sixth round of model findings in slides [Rev 2b]</v>
          </cell>
        </row>
        <row r="123">
          <cell r="A123" t="str">
            <v>A1085.T.14</v>
          </cell>
          <cell r="C123" t="str">
            <v>Submit to SO/ NEA [Rev 2]</v>
          </cell>
        </row>
        <row r="124">
          <cell r="A124" t="str">
            <v>A1085.T.15</v>
          </cell>
          <cell r="C124" t="str">
            <v>Final Model findings report</v>
          </cell>
        </row>
        <row r="125">
          <cell r="A125" t="str">
            <v>A1085.T.16</v>
          </cell>
          <cell r="C125" t="str">
            <v>Final presentation / confirmation on findings</v>
          </cell>
        </row>
        <row r="126">
          <cell r="A126" t="str">
            <v>A1085.T.17</v>
          </cell>
          <cell r="C126" t="str">
            <v>Comments on final report</v>
          </cell>
        </row>
        <row r="127">
          <cell r="A127" t="str">
            <v>A1085.T.18</v>
          </cell>
          <cell r="C127" t="str">
            <v>Submit &amp; Confirmation of final report by SO/NEA</v>
          </cell>
        </row>
        <row r="128">
          <cell r="A128" t="str">
            <v>A1050</v>
          </cell>
          <cell r="C128" t="str">
            <v>Procurement</v>
          </cell>
        </row>
        <row r="129">
          <cell r="A129" t="str">
            <v>A1050.P.01</v>
          </cell>
          <cell r="C129" t="str">
            <v>Weighbridges</v>
          </cell>
        </row>
        <row r="130">
          <cell r="A130" t="str">
            <v>A1050.P.02</v>
          </cell>
          <cell r="C130" t="str">
            <v>Furniture</v>
          </cell>
        </row>
        <row r="131">
          <cell r="A131" t="str">
            <v>A1050.P.03</v>
          </cell>
          <cell r="C131" t="str">
            <v>UPS &amp; 19" Racks</v>
          </cell>
        </row>
        <row r="132">
          <cell r="A132" t="str">
            <v>A1050.P.04</v>
          </cell>
          <cell r="C132" t="str">
            <v>Public Announcement System</v>
          </cell>
        </row>
        <row r="133">
          <cell r="A133" t="str">
            <v>A1050.P.05</v>
          </cell>
          <cell r="C133" t="str">
            <v>Electrical &amp; Structured Cabling Services(By Others)</v>
          </cell>
        </row>
        <row r="134">
          <cell r="A134" t="str">
            <v>A1050.P.06</v>
          </cell>
          <cell r="C134" t="str">
            <v>Data Processing Equipment</v>
          </cell>
        </row>
        <row r="135">
          <cell r="A135" t="str">
            <v>A1050.P.07</v>
          </cell>
          <cell r="C135" t="str">
            <v>Data Communication Equipment</v>
          </cell>
        </row>
        <row r="136">
          <cell r="A136" t="str">
            <v>A1050.P.08</v>
          </cell>
          <cell r="C136" t="str">
            <v>Station Integrated with Interfacing Controller for Receipt, Intercom, RFID, Biometrics, Traffic Lights, Vehicle Barrier</v>
          </cell>
        </row>
        <row r="137">
          <cell r="A137" t="str">
            <v>A1050.P.09</v>
          </cell>
          <cell r="C137" t="str">
            <v>Video Recording System, LPR Hardware and Accessories</v>
          </cell>
        </row>
        <row r="138">
          <cell r="A138" t="str">
            <v>A1050.P.10</v>
          </cell>
          <cell r="C138" t="str">
            <v>Zonal Detection System</v>
          </cell>
        </row>
        <row r="139">
          <cell r="A139" t="str">
            <v>A1050.P.11</v>
          </cell>
          <cell r="C139" t="str">
            <v>Radioactive Devices</v>
          </cell>
        </row>
        <row r="140">
          <cell r="A140" t="str">
            <v>A1050.P.12</v>
          </cell>
          <cell r="C140" t="str">
            <v>Heat Detection Devices</v>
          </cell>
        </row>
        <row r="141">
          <cell r="A141" t="str">
            <v>A1050.P.13</v>
          </cell>
          <cell r="C141" t="str">
            <v>Ash Truck Positioning and Empty/Full Detection Devices</v>
          </cell>
        </row>
        <row r="142">
          <cell r="A142" t="str">
            <v>A1050.P.14</v>
          </cell>
          <cell r="C142" t="str">
            <v>Purchase and Delivery of Casted Items(Others) -Batch 1</v>
          </cell>
        </row>
        <row r="143">
          <cell r="A143" t="str">
            <v>A1050.P.15</v>
          </cell>
          <cell r="C143" t="str">
            <v>Purchase and Delivery of Casted Items(Others) - Batch 2</v>
          </cell>
        </row>
        <row r="144">
          <cell r="C144" t="str">
            <v>Manufacture / Fabrication / Delivery</v>
          </cell>
        </row>
        <row r="145">
          <cell r="A145" t="str">
            <v>A1060</v>
          </cell>
          <cell r="C145" t="str">
            <v>Manufacture Commence Data (Commence Date should be notified by KSPL)</v>
          </cell>
        </row>
        <row r="146">
          <cell r="A146" t="str">
            <v>A1060.M.01</v>
          </cell>
          <cell r="C146" t="str">
            <v>Weighbridges</v>
          </cell>
        </row>
        <row r="147">
          <cell r="A147" t="str">
            <v>A1060.M.02</v>
          </cell>
          <cell r="C147" t="str">
            <v>Furniture</v>
          </cell>
        </row>
        <row r="148">
          <cell r="A148" t="str">
            <v>A1060.M.03</v>
          </cell>
          <cell r="C148" t="str">
            <v>UPS &amp; 19" Racks</v>
          </cell>
        </row>
        <row r="149">
          <cell r="A149" t="str">
            <v>A1060.M.04</v>
          </cell>
          <cell r="C149" t="str">
            <v>Public Announcement System</v>
          </cell>
        </row>
        <row r="150">
          <cell r="A150" t="str">
            <v>A1060.M.05</v>
          </cell>
          <cell r="C150" t="str">
            <v>Electrical &amp; Structured Cabling Services</v>
          </cell>
        </row>
        <row r="151">
          <cell r="A151" t="str">
            <v>A1060.M.06</v>
          </cell>
          <cell r="C151" t="str">
            <v>Data Processing Equipment</v>
          </cell>
        </row>
        <row r="152">
          <cell r="A152" t="str">
            <v>A1060.M.07</v>
          </cell>
          <cell r="C152" t="str">
            <v>Data Communication Equipment</v>
          </cell>
        </row>
        <row r="153">
          <cell r="A153" t="str">
            <v>A1060.M.08</v>
          </cell>
          <cell r="C153" t="str">
            <v>Station Integrated with Interfacing Controller for Receipt, Intercom, RFID, Biometrics, Traffic Lights, Vehicle Barrier</v>
          </cell>
        </row>
        <row r="154">
          <cell r="A154" t="str">
            <v>A1060.M.09</v>
          </cell>
          <cell r="C154" t="str">
            <v>Video Recording System, LPR Hardware and Accessories</v>
          </cell>
        </row>
        <row r="155">
          <cell r="A155" t="str">
            <v>A1060.M.10</v>
          </cell>
          <cell r="C155" t="str">
            <v>Zonal Detection System</v>
          </cell>
        </row>
        <row r="156">
          <cell r="A156" t="str">
            <v>A1060.M.11</v>
          </cell>
          <cell r="C156" t="str">
            <v>Radioactive Devices</v>
          </cell>
        </row>
        <row r="157">
          <cell r="A157" t="str">
            <v>A1060.M.12</v>
          </cell>
          <cell r="C157" t="str">
            <v>Heat Detection Devices</v>
          </cell>
        </row>
        <row r="158">
          <cell r="A158" t="str">
            <v>A1060.M.13</v>
          </cell>
          <cell r="C158" t="str">
            <v>Ash Truck Positioning and Empty/Full Detection Devices</v>
          </cell>
        </row>
        <row r="159">
          <cell r="A159" t="str">
            <v>A1070</v>
          </cell>
          <cell r="C159" t="str">
            <v>Completion of FAT for Weighbridge System</v>
          </cell>
        </row>
        <row r="160">
          <cell r="A160" t="str">
            <v>A1070.F.01</v>
          </cell>
          <cell r="C160" t="str">
            <v>FAT for Weighbridge</v>
          </cell>
        </row>
        <row r="161">
          <cell r="A161" t="str">
            <v>A1070.F.02</v>
          </cell>
          <cell r="C161" t="str">
            <v>FAT for Zonal Detection</v>
          </cell>
        </row>
        <row r="162">
          <cell r="A162" t="str">
            <v>A1070.F.03</v>
          </cell>
          <cell r="C162" t="str">
            <v>FAT for Ash Truck Positioning and Empty/Full Detection Devices</v>
          </cell>
        </row>
        <row r="163">
          <cell r="A163" t="str">
            <v>A1070.F.04</v>
          </cell>
          <cell r="C163" t="str">
            <v>Preparation of Holding Area for weighbridge platforms</v>
          </cell>
        </row>
        <row r="164">
          <cell r="A164" t="str">
            <v>A1080</v>
          </cell>
          <cell r="C164" t="str">
            <v>Delivery to Site</v>
          </cell>
        </row>
        <row r="165">
          <cell r="A165" t="str">
            <v>A1080.D.00</v>
          </cell>
          <cell r="C165" t="str">
            <v>Architectural and Building Service Works</v>
          </cell>
        </row>
        <row r="166">
          <cell r="A166" t="str">
            <v>A1080.D.01</v>
          </cell>
          <cell r="C166" t="str">
            <v>Weighbridge System delivery</v>
          </cell>
        </row>
        <row r="167">
          <cell r="A167" t="str">
            <v>A1080.D.02</v>
          </cell>
          <cell r="C167" t="str">
            <v>Other Weighbridge Equipments</v>
          </cell>
        </row>
        <row r="168">
          <cell r="A168" t="str">
            <v>A1080.D.03</v>
          </cell>
          <cell r="C168" t="str">
            <v>Weighbridge Platform</v>
          </cell>
        </row>
        <row r="169">
          <cell r="A169" t="str">
            <v>A1080.D.04</v>
          </cell>
          <cell r="C169" t="str">
            <v>Zonal Detection System delivery</v>
          </cell>
        </row>
        <row r="170">
          <cell r="A170" t="str">
            <v>A1080.D.05</v>
          </cell>
          <cell r="C170" t="str">
            <v>Ash Truck Positioning and Empty/Full Detection Devices delivery</v>
          </cell>
        </row>
        <row r="171">
          <cell r="A171" t="str">
            <v>A1090</v>
          </cell>
          <cell r="C171" t="str">
            <v>Installation</v>
          </cell>
        </row>
        <row r="172">
          <cell r="A172" t="str">
            <v>A1090.I.01</v>
          </cell>
          <cell r="C172" t="str">
            <v>Weighbridge Foundation &amp; Control Room ready for Installation</v>
          </cell>
        </row>
        <row r="173">
          <cell r="A173" t="str">
            <v>A1090.I.02</v>
          </cell>
          <cell r="C173" t="str">
            <v>Electrical and instrumentation works</v>
          </cell>
        </row>
        <row r="174">
          <cell r="A174" t="str">
            <v>A1090.I.03</v>
          </cell>
          <cell r="C174" t="str">
            <v>Public Announcement System</v>
          </cell>
        </row>
        <row r="175">
          <cell r="A175" t="str">
            <v>A1090.I.04</v>
          </cell>
          <cell r="C175" t="str">
            <v>Weighbridges</v>
          </cell>
        </row>
        <row r="176">
          <cell r="A176" t="str">
            <v>A1090.I.05</v>
          </cell>
          <cell r="C176" t="str">
            <v>Furniture</v>
          </cell>
        </row>
        <row r="177">
          <cell r="A177" t="str">
            <v>A1090.I.06</v>
          </cell>
          <cell r="C177" t="str">
            <v>Rack</v>
          </cell>
        </row>
        <row r="178">
          <cell r="A178" t="str">
            <v>A1090.I.07</v>
          </cell>
          <cell r="C178" t="str">
            <v>UPS</v>
          </cell>
        </row>
        <row r="179">
          <cell r="A179" t="str">
            <v>A1090.I.08</v>
          </cell>
          <cell r="C179" t="str">
            <v>Data Processing System (DPS)</v>
          </cell>
        </row>
        <row r="180">
          <cell r="A180" t="str">
            <v>A1090.I.09</v>
          </cell>
          <cell r="C180" t="str">
            <v>Data Communication System</v>
          </cell>
        </row>
        <row r="181">
          <cell r="A181" t="str">
            <v>A1090.I.10</v>
          </cell>
          <cell r="C181" t="str">
            <v>Interfacing Controller (IFC)</v>
          </cell>
        </row>
        <row r="182">
          <cell r="A182" t="str">
            <v>A1090.I.11</v>
          </cell>
          <cell r="C182" t="str">
            <v>Weighbridge Intercom Kiosk</v>
          </cell>
        </row>
        <row r="183">
          <cell r="A183" t="str">
            <v>A1090.I.12</v>
          </cell>
          <cell r="C183" t="str">
            <v>EPS Antenna</v>
          </cell>
        </row>
        <row r="184">
          <cell r="A184" t="str">
            <v>A1090.I.13</v>
          </cell>
          <cell r="C184" t="str">
            <v>Traffic Lights</v>
          </cell>
        </row>
        <row r="185">
          <cell r="A185" t="str">
            <v>A1090.I.14</v>
          </cell>
          <cell r="C185" t="str">
            <v>Barriers</v>
          </cell>
        </row>
        <row r="186">
          <cell r="A186" t="str">
            <v>A1090.I.15</v>
          </cell>
          <cell r="C186" t="str">
            <v>License Plate Recognition System (LPR)</v>
          </cell>
        </row>
        <row r="187">
          <cell r="A187" t="str">
            <v>A1090.I.16</v>
          </cell>
          <cell r="C187" t="str">
            <v>Video Recording System (VRS)</v>
          </cell>
        </row>
        <row r="188">
          <cell r="A188" t="str">
            <v>A1090.I.17</v>
          </cell>
          <cell r="C188" t="str">
            <v>Radioactive Devices</v>
          </cell>
        </row>
        <row r="189">
          <cell r="A189" t="str">
            <v>A1090.I.18</v>
          </cell>
          <cell r="C189" t="str">
            <v>Load Heat Detection Devices</v>
          </cell>
        </row>
        <row r="190">
          <cell r="A190" t="str">
            <v>A1090.I.19</v>
          </cell>
          <cell r="C190" t="str">
            <v>Single weighbridge physical mock-up</v>
          </cell>
        </row>
        <row r="191">
          <cell r="A191" t="str">
            <v>A1090.I.20</v>
          </cell>
          <cell r="C191" t="str">
            <v>Zonal Detection System</v>
          </cell>
        </row>
        <row r="192">
          <cell r="A192" t="str">
            <v>A1090.I.21</v>
          </cell>
          <cell r="C192" t="str">
            <v>Ash Truck Positioning and Empty/Full Detection Devices</v>
          </cell>
        </row>
        <row r="193">
          <cell r="C193" t="str">
            <v>Testing &amp; Commissioning</v>
          </cell>
        </row>
        <row r="194">
          <cell r="A194" t="str">
            <v>A1100</v>
          </cell>
          <cell r="C194" t="str">
            <v>ERP/ DCS Interface Readiness</v>
          </cell>
        </row>
        <row r="195">
          <cell r="A195" t="str">
            <v>A1110</v>
          </cell>
          <cell r="C195" t="str">
            <v>Site Acceptance Test</v>
          </cell>
        </row>
        <row r="196">
          <cell r="A196" t="str">
            <v>A1110.S.01</v>
          </cell>
          <cell r="C196" t="str">
            <v>Client Inspection of Weighbridge Sub-system</v>
          </cell>
        </row>
        <row r="197">
          <cell r="A197" t="str">
            <v>A1110.S.02</v>
          </cell>
          <cell r="C197" t="str">
            <v>Client Inspection of Zonal Detection Sub-system</v>
          </cell>
        </row>
        <row r="198">
          <cell r="A198" t="str">
            <v>A1110.S.03</v>
          </cell>
          <cell r="C198" t="str">
            <v>Punchlist Clearance</v>
          </cell>
        </row>
        <row r="199">
          <cell r="A199" t="str">
            <v>A1110.S.04</v>
          </cell>
          <cell r="C199" t="str">
            <v>User Training</v>
          </cell>
        </row>
        <row r="200">
          <cell r="A200" t="str">
            <v>A1120</v>
          </cell>
          <cell r="C200" t="str">
            <v>System Commissioning Test</v>
          </cell>
        </row>
        <row r="201">
          <cell r="A201" t="str">
            <v>A1120.S.01</v>
          </cell>
          <cell r="C201" t="str">
            <v>Weighbridge (Line 1&amp;2) System Conduct System Commissioning Test - Hardware</v>
          </cell>
        </row>
        <row r="202">
          <cell r="A202" t="str">
            <v>A1120.S.02</v>
          </cell>
          <cell r="C202" t="str">
            <v>Weighbridge (Line 1&amp;2) System Conduct System Commissioning Test - Software</v>
          </cell>
        </row>
        <row r="203">
          <cell r="A203" t="str">
            <v>A1120.S.03</v>
          </cell>
          <cell r="C203" t="str">
            <v>Weighbridge Zonal System Conduct System Commissioning Test</v>
          </cell>
        </row>
        <row r="204">
          <cell r="A204" t="str">
            <v>A1120.S.04</v>
          </cell>
          <cell r="C204" t="str">
            <v>Weighbridge (Line 3&amp;4) System Commissioning Test</v>
          </cell>
        </row>
        <row r="205">
          <cell r="A205" t="str">
            <v>A1130</v>
          </cell>
          <cell r="C205" t="str">
            <v>Successful Completion of Trial Operation Test</v>
          </cell>
        </row>
        <row r="206">
          <cell r="A206" t="str">
            <v>A1150</v>
          </cell>
          <cell r="C206" t="str">
            <v>Completion of the whole Sub-Contract Works</v>
          </cell>
        </row>
      </sheetData>
      <sheetData sheetId="3">
        <row r="1">
          <cell r="A1" t="str">
            <v>Activity ID</v>
          </cell>
          <cell r="B1" t="str">
            <v>Payment Milestone</v>
          </cell>
          <cell r="C1" t="str">
            <v>Activity Name</v>
          </cell>
          <cell r="D1" t="str">
            <v>Original Duration</v>
          </cell>
          <cell r="E1" t="str">
            <v>Physical % Complete</v>
          </cell>
          <cell r="F1" t="str">
            <v>Actual % Complete</v>
          </cell>
          <cell r="G1" t="str">
            <v>Schedule % Complete</v>
          </cell>
          <cell r="H1" t="str">
            <v>Start</v>
          </cell>
          <cell r="I1" t="str">
            <v>Finish</v>
          </cell>
          <cell r="J1" t="str">
            <v>Start</v>
          </cell>
          <cell r="K1" t="str">
            <v>Finish</v>
          </cell>
          <cell r="L1" t="str">
            <v>Basline Start</v>
          </cell>
          <cell r="M1" t="str">
            <v>Baseline Finish</v>
          </cell>
          <cell r="N1" t="str">
            <v>Actual Start</v>
          </cell>
          <cell r="O1" t="str">
            <v>Actual Finish</v>
          </cell>
          <cell r="P1" t="str">
            <v>Total Float</v>
          </cell>
          <cell r="Q1" t="str">
            <v>Earned Value Cost</v>
          </cell>
        </row>
        <row r="2">
          <cell r="A2" t="str">
            <v xml:space="preserve">SIWMF </v>
          </cell>
        </row>
        <row r="3">
          <cell r="A3" t="str">
            <v>SIWMF Application</v>
          </cell>
        </row>
        <row r="7">
          <cell r="C7" t="str">
            <v>SIWMF Baseline</v>
          </cell>
          <cell r="D7" t="str">
            <v>1930</v>
          </cell>
          <cell r="F7" t="str">
            <v>61%</v>
          </cell>
          <cell r="G7" t="str">
            <v>100%</v>
          </cell>
          <cell r="H7" t="str">
            <v>09 Mar 2021</v>
          </cell>
          <cell r="I7" t="str">
            <v>07 Oct 2025</v>
          </cell>
          <cell r="J7">
            <v>44264</v>
          </cell>
          <cell r="K7">
            <v>46555</v>
          </cell>
          <cell r="L7">
            <v>44264</v>
          </cell>
          <cell r="M7">
            <v>45937</v>
          </cell>
          <cell r="N7">
            <v>44264</v>
          </cell>
          <cell r="O7" t="str">
            <v>NA</v>
          </cell>
        </row>
        <row r="8">
          <cell r="A8" t="str">
            <v>A1000</v>
          </cell>
          <cell r="C8" t="str">
            <v>Contract Award</v>
          </cell>
          <cell r="D8" t="str">
            <v>0.89</v>
          </cell>
          <cell r="F8" t="str">
            <v>100%</v>
          </cell>
          <cell r="G8" t="str">
            <v>100%</v>
          </cell>
          <cell r="H8" t="str">
            <v>09 Mar 2021</v>
          </cell>
          <cell r="I8" t="str">
            <v>09 Mar 2021</v>
          </cell>
          <cell r="J8">
            <v>44264</v>
          </cell>
          <cell r="K8">
            <v>44264</v>
          </cell>
          <cell r="L8">
            <v>44264</v>
          </cell>
          <cell r="M8">
            <v>44264</v>
          </cell>
          <cell r="N8">
            <v>44264</v>
          </cell>
          <cell r="O8">
            <v>44264</v>
          </cell>
        </row>
        <row r="9">
          <cell r="A9" t="str">
            <v>A1020.14</v>
          </cell>
          <cell r="C9" t="str">
            <v>Detailed Design for weighbridge MD2/AD2 Review and Acceptance by SO</v>
          </cell>
          <cell r="D9" t="str">
            <v>0</v>
          </cell>
          <cell r="F9" t="str">
            <v>100%</v>
          </cell>
          <cell r="G9" t="str">
            <v>100%</v>
          </cell>
          <cell r="H9" t="str">
            <v>21 Jan 2022</v>
          </cell>
          <cell r="I9" t="str">
            <v>21 Jan 2022</v>
          </cell>
          <cell r="J9">
            <v>44582</v>
          </cell>
          <cell r="K9">
            <v>44582</v>
          </cell>
          <cell r="L9">
            <v>44582</v>
          </cell>
          <cell r="M9">
            <v>44582</v>
          </cell>
          <cell r="N9">
            <v>44582</v>
          </cell>
          <cell r="O9">
            <v>44582</v>
          </cell>
        </row>
        <row r="10">
          <cell r="A10" t="str">
            <v>A1070.F.05</v>
          </cell>
          <cell r="C10" t="str">
            <v>Successful Completion of Factory acceptance Test(FAT)</v>
          </cell>
          <cell r="D10" t="str">
            <v>0</v>
          </cell>
          <cell r="F10" t="str">
            <v>0%</v>
          </cell>
          <cell r="G10" t="str">
            <v>100%</v>
          </cell>
          <cell r="H10" t="str">
            <v>24 Oct 2023</v>
          </cell>
          <cell r="I10" t="str">
            <v>24 Oct 2023</v>
          </cell>
          <cell r="J10">
            <v>45905</v>
          </cell>
          <cell r="K10">
            <v>45905</v>
          </cell>
          <cell r="L10">
            <v>45223</v>
          </cell>
          <cell r="M10">
            <v>45223</v>
          </cell>
          <cell r="N10" t="str">
            <v>NA</v>
          </cell>
          <cell r="O10" t="str">
            <v>NA</v>
          </cell>
        </row>
        <row r="11">
          <cell r="A11" t="str">
            <v>A1080.D.06</v>
          </cell>
          <cell r="C11" t="str">
            <v>Time for Delivery of Weighbridge System</v>
          </cell>
          <cell r="D11" t="str">
            <v>0</v>
          </cell>
          <cell r="F11" t="str">
            <v>0%</v>
          </cell>
          <cell r="G11" t="str">
            <v>100%</v>
          </cell>
          <cell r="H11" t="str">
            <v>02 Jan 2024</v>
          </cell>
          <cell r="I11" t="str">
            <v>02 Jan 2024</v>
          </cell>
          <cell r="J11">
            <v>45972</v>
          </cell>
          <cell r="K11">
            <v>45972</v>
          </cell>
          <cell r="L11">
            <v>45293</v>
          </cell>
          <cell r="M11">
            <v>45293</v>
          </cell>
          <cell r="N11" t="str">
            <v>NA</v>
          </cell>
          <cell r="O11" t="str">
            <v>NA</v>
          </cell>
        </row>
        <row r="12">
          <cell r="A12" t="str">
            <v>A1090.I.22</v>
          </cell>
          <cell r="C12" t="str">
            <v>Completion of Weighbridge Mechanical , EIAC and Zonal Detection System</v>
          </cell>
          <cell r="D12" t="str">
            <v>0</v>
          </cell>
          <cell r="F12" t="str">
            <v>0%</v>
          </cell>
          <cell r="G12" t="str">
            <v>100%</v>
          </cell>
          <cell r="H12" t="str">
            <v>15 May 2024</v>
          </cell>
          <cell r="I12" t="str">
            <v>15 May 2024</v>
          </cell>
          <cell r="J12">
            <v>46088</v>
          </cell>
          <cell r="K12">
            <v>46088</v>
          </cell>
          <cell r="L12">
            <v>45427</v>
          </cell>
          <cell r="M12">
            <v>45427</v>
          </cell>
          <cell r="N12" t="str">
            <v>NA</v>
          </cell>
          <cell r="O12" t="str">
            <v>NA</v>
          </cell>
        </row>
        <row r="13">
          <cell r="A13" t="str">
            <v>A1110.S.04</v>
          </cell>
          <cell r="C13" t="str">
            <v>Successful SAT of Weighbridge system</v>
          </cell>
          <cell r="D13" t="str">
            <v>0</v>
          </cell>
          <cell r="F13" t="str">
            <v>0%</v>
          </cell>
          <cell r="G13" t="str">
            <v>100%</v>
          </cell>
          <cell r="H13" t="str">
            <v>31 Jul 2024</v>
          </cell>
          <cell r="I13" t="str">
            <v>31 Jul 2024</v>
          </cell>
          <cell r="J13">
            <v>46150</v>
          </cell>
          <cell r="K13">
            <v>46150</v>
          </cell>
          <cell r="L13">
            <v>45504</v>
          </cell>
          <cell r="M13">
            <v>45504</v>
          </cell>
          <cell r="N13" t="str">
            <v>NA</v>
          </cell>
          <cell r="O13" t="str">
            <v>NA</v>
          </cell>
        </row>
        <row r="14">
          <cell r="A14" t="str">
            <v>A1130.15</v>
          </cell>
          <cell r="C14" t="str">
            <v>Successful Completion of Trial Operation</v>
          </cell>
          <cell r="D14" t="str">
            <v>0</v>
          </cell>
          <cell r="F14" t="str">
            <v>0%</v>
          </cell>
          <cell r="G14" t="str">
            <v>100%</v>
          </cell>
          <cell r="H14" t="str">
            <v>09 Jul 2025</v>
          </cell>
          <cell r="I14" t="str">
            <v>09 Jul 2025</v>
          </cell>
          <cell r="J14">
            <v>46492</v>
          </cell>
          <cell r="K14">
            <v>46492</v>
          </cell>
          <cell r="L14">
            <v>45847</v>
          </cell>
          <cell r="M14">
            <v>45847</v>
          </cell>
          <cell r="N14" t="str">
            <v>NA</v>
          </cell>
          <cell r="O14" t="str">
            <v>NA</v>
          </cell>
        </row>
        <row r="15">
          <cell r="A15" t="str">
            <v>A1160</v>
          </cell>
          <cell r="C15" t="str">
            <v>Completion of the whole of the Sub-Contract Works</v>
          </cell>
          <cell r="D15" t="str">
            <v>0</v>
          </cell>
          <cell r="F15" t="str">
            <v>0%</v>
          </cell>
          <cell r="G15" t="str">
            <v>100%</v>
          </cell>
          <cell r="H15" t="str">
            <v>07 Oct 2025</v>
          </cell>
          <cell r="I15" t="str">
            <v>07 Oct 2025</v>
          </cell>
          <cell r="J15">
            <v>46555</v>
          </cell>
          <cell r="K15">
            <v>46555</v>
          </cell>
          <cell r="L15">
            <v>45937</v>
          </cell>
          <cell r="M15">
            <v>45937</v>
          </cell>
          <cell r="N15" t="str">
            <v>NA</v>
          </cell>
          <cell r="O15" t="str">
            <v>NA</v>
          </cell>
        </row>
        <row r="16">
          <cell r="C16" t="str">
            <v>Process Engineering (Detailed Design Milestone)</v>
          </cell>
          <cell r="D16" t="str">
            <v>1141.53</v>
          </cell>
          <cell r="F16" t="str">
            <v>100%</v>
          </cell>
          <cell r="G16" t="str">
            <v>100%</v>
          </cell>
          <cell r="H16" t="str">
            <v>19 Mar 2021</v>
          </cell>
          <cell r="I16" t="str">
            <v>22 Jul 2023</v>
          </cell>
          <cell r="J16">
            <v>44274</v>
          </cell>
          <cell r="K16">
            <v>45646</v>
          </cell>
          <cell r="L16">
            <v>44274</v>
          </cell>
          <cell r="M16">
            <v>45129</v>
          </cell>
          <cell r="N16">
            <v>44274</v>
          </cell>
          <cell r="O16">
            <v>45646</v>
          </cell>
        </row>
        <row r="17">
          <cell r="A17" t="str">
            <v>A1010</v>
          </cell>
          <cell r="C17" t="str">
            <v>MD1 AD1 Preparation, Submission, Review &amp; Acceptance</v>
          </cell>
          <cell r="D17" t="str">
            <v>10.67</v>
          </cell>
          <cell r="F17" t="str">
            <v>100%</v>
          </cell>
          <cell r="G17" t="str">
            <v>100%</v>
          </cell>
          <cell r="H17" t="str">
            <v>19 Mar 2021</v>
          </cell>
          <cell r="I17" t="str">
            <v>03 Apr 2021</v>
          </cell>
          <cell r="J17">
            <v>44274</v>
          </cell>
          <cell r="K17">
            <v>44289</v>
          </cell>
          <cell r="L17">
            <v>44274</v>
          </cell>
          <cell r="M17">
            <v>44289</v>
          </cell>
          <cell r="N17">
            <v>44274</v>
          </cell>
          <cell r="O17">
            <v>44289</v>
          </cell>
        </row>
        <row r="18">
          <cell r="A18" t="str">
            <v>A1020</v>
          </cell>
          <cell r="C18" t="str">
            <v>MD2 ED1 AD2 Preparation, Submission, Review &amp; Acceptance</v>
          </cell>
          <cell r="D18" t="str">
            <v>754</v>
          </cell>
          <cell r="F18" t="str">
            <v>100%</v>
          </cell>
          <cell r="G18" t="str">
            <v>100%</v>
          </cell>
          <cell r="H18" t="str">
            <v>07 Apr 2021</v>
          </cell>
          <cell r="I18" t="str">
            <v>08 Jul 2023</v>
          </cell>
          <cell r="J18">
            <v>44293</v>
          </cell>
          <cell r="K18">
            <v>45201</v>
          </cell>
          <cell r="L18">
            <v>44293</v>
          </cell>
          <cell r="M18">
            <v>45115</v>
          </cell>
          <cell r="N18">
            <v>44293</v>
          </cell>
          <cell r="O18">
            <v>45201</v>
          </cell>
        </row>
        <row r="19">
          <cell r="A19" t="str">
            <v>A1020.1</v>
          </cell>
          <cell r="C19" t="str">
            <v>MD2 Weighbridge System Package (Rev 0a) Preparation by ALC</v>
          </cell>
          <cell r="D19" t="str">
            <v>56.89</v>
          </cell>
          <cell r="F19" t="str">
            <v>100%</v>
          </cell>
          <cell r="G19" t="str">
            <v>100%</v>
          </cell>
          <cell r="H19" t="str">
            <v>07 Apr 2021</v>
          </cell>
          <cell r="I19" t="str">
            <v>16 Jun 2021</v>
          </cell>
          <cell r="J19">
            <v>44293</v>
          </cell>
          <cell r="K19">
            <v>44363</v>
          </cell>
          <cell r="L19">
            <v>44293</v>
          </cell>
          <cell r="M19">
            <v>44363</v>
          </cell>
          <cell r="N19">
            <v>44293</v>
          </cell>
          <cell r="O19">
            <v>44363</v>
          </cell>
        </row>
        <row r="20">
          <cell r="A20" t="str">
            <v>A1020.2</v>
          </cell>
          <cell r="C20" t="str">
            <v>MD2 Weighbridge System Package (Rev 0a) Submission to KSPL</v>
          </cell>
          <cell r="D20" t="str">
            <v>1</v>
          </cell>
          <cell r="F20" t="str">
            <v>100%</v>
          </cell>
          <cell r="G20" t="str">
            <v>100%</v>
          </cell>
          <cell r="H20" t="str">
            <v>17 Jun 2021</v>
          </cell>
          <cell r="I20" t="str">
            <v>17 Jun 2021</v>
          </cell>
          <cell r="J20">
            <v>44364</v>
          </cell>
          <cell r="K20">
            <v>44364</v>
          </cell>
          <cell r="L20">
            <v>44364</v>
          </cell>
          <cell r="M20">
            <v>44364</v>
          </cell>
          <cell r="N20">
            <v>44364</v>
          </cell>
          <cell r="O20">
            <v>44364</v>
          </cell>
        </row>
        <row r="21">
          <cell r="A21" t="str">
            <v>A1020.3</v>
          </cell>
          <cell r="C21" t="str">
            <v>MD2 Weighbridge System Package (Rev 0a) Review (1st Round)</v>
          </cell>
          <cell r="D21" t="str">
            <v>7</v>
          </cell>
          <cell r="F21" t="str">
            <v>100%</v>
          </cell>
          <cell r="G21" t="str">
            <v>100%</v>
          </cell>
          <cell r="H21" t="str">
            <v>18 Jun 2021</v>
          </cell>
          <cell r="I21" t="str">
            <v>25 Jun 2021</v>
          </cell>
          <cell r="J21">
            <v>44365</v>
          </cell>
          <cell r="K21">
            <v>44372</v>
          </cell>
          <cell r="L21">
            <v>44365</v>
          </cell>
          <cell r="M21">
            <v>44372</v>
          </cell>
          <cell r="N21">
            <v>44365</v>
          </cell>
          <cell r="O21">
            <v>44372</v>
          </cell>
        </row>
        <row r="22">
          <cell r="A22" t="str">
            <v>A1020.4</v>
          </cell>
          <cell r="C22" t="str">
            <v>MD2 Weighbridge System Package (Rev 0a) ALC Ammendment (1st Round)</v>
          </cell>
          <cell r="D22" t="str">
            <v>21.11</v>
          </cell>
          <cell r="F22" t="str">
            <v>100%</v>
          </cell>
          <cell r="G22" t="str">
            <v>100%</v>
          </cell>
          <cell r="H22" t="str">
            <v>26 Jun 2021</v>
          </cell>
          <cell r="I22" t="str">
            <v>21 Jul 2021</v>
          </cell>
          <cell r="J22">
            <v>44373</v>
          </cell>
          <cell r="K22">
            <v>44398</v>
          </cell>
          <cell r="L22">
            <v>44373</v>
          </cell>
          <cell r="M22">
            <v>44398</v>
          </cell>
          <cell r="N22">
            <v>44373</v>
          </cell>
          <cell r="O22">
            <v>44398</v>
          </cell>
        </row>
        <row r="23">
          <cell r="A23" t="str">
            <v>A1020.5</v>
          </cell>
          <cell r="C23" t="str">
            <v>MD2 Weighbridge System Package (Rev 0b) Review (2nd Round)</v>
          </cell>
          <cell r="D23" t="str">
            <v>3.11</v>
          </cell>
          <cell r="F23" t="str">
            <v>100%</v>
          </cell>
          <cell r="G23" t="str">
            <v>100%</v>
          </cell>
          <cell r="H23" t="str">
            <v>22 Jul 2021</v>
          </cell>
          <cell r="I23" t="str">
            <v>26 Jul 2021</v>
          </cell>
          <cell r="J23">
            <v>44399</v>
          </cell>
          <cell r="K23">
            <v>44403</v>
          </cell>
          <cell r="L23">
            <v>44399</v>
          </cell>
          <cell r="M23">
            <v>44403</v>
          </cell>
          <cell r="N23">
            <v>44399</v>
          </cell>
          <cell r="O23">
            <v>44403</v>
          </cell>
        </row>
        <row r="24">
          <cell r="A24" t="str">
            <v>A1020.6</v>
          </cell>
          <cell r="C24" t="str">
            <v>MD2 Weighbridge System Package (Rev 0b) ALC Ammendment (2nd Round)</v>
          </cell>
          <cell r="D24" t="str">
            <v>1.11</v>
          </cell>
          <cell r="F24" t="str">
            <v>100%</v>
          </cell>
          <cell r="G24" t="str">
            <v>100%</v>
          </cell>
          <cell r="H24" t="str">
            <v>28 Jul 2021</v>
          </cell>
          <cell r="I24" t="str">
            <v>29 Jul 2021</v>
          </cell>
          <cell r="J24">
            <v>44405</v>
          </cell>
          <cell r="K24">
            <v>44406</v>
          </cell>
          <cell r="L24">
            <v>44405</v>
          </cell>
          <cell r="M24">
            <v>44406</v>
          </cell>
          <cell r="N24">
            <v>44405</v>
          </cell>
          <cell r="O24">
            <v>44406</v>
          </cell>
        </row>
        <row r="25">
          <cell r="A25" t="str">
            <v>A1020.7</v>
          </cell>
          <cell r="C25" t="str">
            <v>MD2 Weighbridge System Package (Rev 0) Review by SO/ NEA</v>
          </cell>
          <cell r="D25" t="str">
            <v>8</v>
          </cell>
          <cell r="F25" t="str">
            <v>100%</v>
          </cell>
          <cell r="G25" t="str">
            <v>100%</v>
          </cell>
          <cell r="H25" t="str">
            <v>30 Jul 2021</v>
          </cell>
          <cell r="I25" t="str">
            <v>08 Aug 2021</v>
          </cell>
          <cell r="J25">
            <v>44407</v>
          </cell>
          <cell r="K25">
            <v>44416</v>
          </cell>
          <cell r="L25">
            <v>44407</v>
          </cell>
          <cell r="M25">
            <v>44416</v>
          </cell>
          <cell r="N25">
            <v>44407</v>
          </cell>
          <cell r="O25">
            <v>44416</v>
          </cell>
        </row>
        <row r="26">
          <cell r="A26" t="str">
            <v>A1020.1</v>
          </cell>
          <cell r="C26" t="str">
            <v>ED1 AD2 Weighbridge System Package (Rev 0a) Preparation by ALC</v>
          </cell>
          <cell r="D26" t="str">
            <v>63.89</v>
          </cell>
          <cell r="F26" t="str">
            <v>100%</v>
          </cell>
          <cell r="G26" t="str">
            <v>100%</v>
          </cell>
          <cell r="H26" t="str">
            <v>07 Apr 2021</v>
          </cell>
          <cell r="I26" t="str">
            <v>24 Jun 2021</v>
          </cell>
          <cell r="J26">
            <v>44293</v>
          </cell>
          <cell r="K26">
            <v>44371</v>
          </cell>
          <cell r="L26">
            <v>44293</v>
          </cell>
          <cell r="M26">
            <v>44371</v>
          </cell>
          <cell r="N26">
            <v>44293</v>
          </cell>
          <cell r="O26">
            <v>44371</v>
          </cell>
        </row>
        <row r="27">
          <cell r="A27" t="str">
            <v>A1020.2</v>
          </cell>
          <cell r="C27" t="str">
            <v>ED1 AD2 Weighbridge System Package (Rev 0a) Submission to KSPL</v>
          </cell>
          <cell r="D27" t="str">
            <v>1</v>
          </cell>
          <cell r="F27" t="str">
            <v>100%</v>
          </cell>
          <cell r="G27" t="str">
            <v>100%</v>
          </cell>
          <cell r="H27" t="str">
            <v>25 Jun 2021</v>
          </cell>
          <cell r="I27" t="str">
            <v>25 Jun 2021</v>
          </cell>
          <cell r="J27">
            <v>44372</v>
          </cell>
          <cell r="K27">
            <v>44372</v>
          </cell>
          <cell r="L27">
            <v>44372</v>
          </cell>
          <cell r="M27">
            <v>44372</v>
          </cell>
          <cell r="N27">
            <v>44372</v>
          </cell>
          <cell r="O27">
            <v>44372</v>
          </cell>
        </row>
        <row r="28">
          <cell r="A28" t="str">
            <v>A1020.3</v>
          </cell>
          <cell r="C28" t="str">
            <v>ED1 AD2 Weighbridge System Package (Rev 0a) Review (1st Round)</v>
          </cell>
          <cell r="D28" t="str">
            <v>6.11</v>
          </cell>
          <cell r="F28" t="str">
            <v>100%</v>
          </cell>
          <cell r="G28" t="str">
            <v>100%</v>
          </cell>
          <cell r="H28" t="str">
            <v>25 Jun 2021</v>
          </cell>
          <cell r="I28" t="str">
            <v>02 Jul 2021</v>
          </cell>
          <cell r="J28">
            <v>44372</v>
          </cell>
          <cell r="K28">
            <v>44379</v>
          </cell>
          <cell r="L28">
            <v>44372</v>
          </cell>
          <cell r="M28">
            <v>44379</v>
          </cell>
          <cell r="N28">
            <v>44372</v>
          </cell>
          <cell r="O28">
            <v>44379</v>
          </cell>
        </row>
        <row r="29">
          <cell r="A29" t="str">
            <v>A1020.4</v>
          </cell>
          <cell r="C29" t="str">
            <v>ED1 AD2 Weighbridge System Package (Rev 0a) ALC Ammendment (1st Round)</v>
          </cell>
          <cell r="D29" t="str">
            <v>11.89</v>
          </cell>
          <cell r="F29" t="str">
            <v>100%</v>
          </cell>
          <cell r="G29" t="str">
            <v>100%</v>
          </cell>
          <cell r="H29" t="str">
            <v>03 Jul 2021</v>
          </cell>
          <cell r="I29" t="str">
            <v>16 Jul 2021</v>
          </cell>
          <cell r="J29">
            <v>44380</v>
          </cell>
          <cell r="K29">
            <v>44393</v>
          </cell>
          <cell r="L29">
            <v>44380</v>
          </cell>
          <cell r="M29">
            <v>44393</v>
          </cell>
          <cell r="N29">
            <v>44380</v>
          </cell>
          <cell r="O29">
            <v>44393</v>
          </cell>
        </row>
        <row r="30">
          <cell r="A30" t="str">
            <v>A1020.5</v>
          </cell>
          <cell r="C30" t="str">
            <v>ED1 AD2 Weighbridge System Package (Rev 0b) Review (2nd Round)</v>
          </cell>
          <cell r="D30" t="str">
            <v>8</v>
          </cell>
          <cell r="F30" t="str">
            <v>100%</v>
          </cell>
          <cell r="G30" t="str">
            <v>100%</v>
          </cell>
          <cell r="H30" t="str">
            <v>17 Jul 2021</v>
          </cell>
          <cell r="I30" t="str">
            <v>26 Jul 2021</v>
          </cell>
          <cell r="J30">
            <v>44394</v>
          </cell>
          <cell r="K30">
            <v>44403</v>
          </cell>
          <cell r="L30">
            <v>44394</v>
          </cell>
          <cell r="M30">
            <v>44403</v>
          </cell>
          <cell r="N30">
            <v>44394</v>
          </cell>
          <cell r="O30">
            <v>44403</v>
          </cell>
        </row>
        <row r="31">
          <cell r="A31" t="str">
            <v>A1020.6</v>
          </cell>
          <cell r="C31" t="str">
            <v>ED1 AD2 Weighbridge System Package (Rev 0b) ALC Ammendment (2nd Round)</v>
          </cell>
          <cell r="D31" t="str">
            <v>4</v>
          </cell>
          <cell r="F31" t="str">
            <v>100%</v>
          </cell>
          <cell r="G31" t="str">
            <v>100%</v>
          </cell>
          <cell r="H31" t="str">
            <v>27 Jul 2021</v>
          </cell>
          <cell r="I31" t="str">
            <v>30 Jul 2021</v>
          </cell>
          <cell r="J31">
            <v>44404</v>
          </cell>
          <cell r="K31">
            <v>44407</v>
          </cell>
          <cell r="L31">
            <v>44404</v>
          </cell>
          <cell r="M31">
            <v>44407</v>
          </cell>
          <cell r="N31">
            <v>44404</v>
          </cell>
          <cell r="O31">
            <v>44407</v>
          </cell>
        </row>
        <row r="32">
          <cell r="A32" t="str">
            <v>A1020.7</v>
          </cell>
          <cell r="C32" t="str">
            <v>ED1 AD2 Weighbridge System Package (Rev 0) Review by SO/ NEA</v>
          </cell>
          <cell r="D32" t="str">
            <v>20</v>
          </cell>
          <cell r="F32" t="str">
            <v>100%</v>
          </cell>
          <cell r="G32" t="str">
            <v>100%</v>
          </cell>
          <cell r="H32" t="str">
            <v>04 Aug 2021</v>
          </cell>
          <cell r="I32" t="str">
            <v>27 Aug 2021</v>
          </cell>
          <cell r="J32">
            <v>44412</v>
          </cell>
          <cell r="K32">
            <v>44435</v>
          </cell>
          <cell r="L32">
            <v>44412</v>
          </cell>
          <cell r="M32">
            <v>44435</v>
          </cell>
          <cell r="N32">
            <v>44412</v>
          </cell>
          <cell r="O32">
            <v>44435</v>
          </cell>
        </row>
        <row r="33">
          <cell r="A33" t="str">
            <v>A1020.8</v>
          </cell>
          <cell r="C33" t="str">
            <v>MD2 Weighbridge System Package (Rev 1a) Ammendment by ALC on SO Comments and Re-submission to KSPL</v>
          </cell>
          <cell r="D33" t="str">
            <v>29</v>
          </cell>
          <cell r="F33" t="str">
            <v>100%</v>
          </cell>
          <cell r="G33" t="str">
            <v>100%</v>
          </cell>
          <cell r="H33" t="str">
            <v>28 Aug 2021</v>
          </cell>
          <cell r="I33" t="str">
            <v>30 Sep 2021</v>
          </cell>
          <cell r="J33">
            <v>44436</v>
          </cell>
          <cell r="K33">
            <v>44469</v>
          </cell>
          <cell r="L33">
            <v>44436</v>
          </cell>
          <cell r="M33">
            <v>44469</v>
          </cell>
          <cell r="N33">
            <v>44436</v>
          </cell>
          <cell r="O33">
            <v>44469</v>
          </cell>
        </row>
        <row r="34">
          <cell r="A34" t="str">
            <v>A1020.9</v>
          </cell>
          <cell r="C34" t="str">
            <v>MD2 Weighbridge System Package (Rev 1a) Review (1st Round)</v>
          </cell>
          <cell r="D34" t="str">
            <v>12</v>
          </cell>
          <cell r="F34" t="str">
            <v>100%</v>
          </cell>
          <cell r="G34" t="str">
            <v>100%</v>
          </cell>
          <cell r="H34" t="str">
            <v>22 Sep 2021</v>
          </cell>
          <cell r="I34" t="str">
            <v>05 Oct 2021</v>
          </cell>
          <cell r="J34">
            <v>44461</v>
          </cell>
          <cell r="K34">
            <v>44474</v>
          </cell>
          <cell r="L34">
            <v>44461</v>
          </cell>
          <cell r="M34">
            <v>44474</v>
          </cell>
          <cell r="N34">
            <v>44461</v>
          </cell>
          <cell r="O34">
            <v>44474</v>
          </cell>
        </row>
        <row r="35">
          <cell r="A35" t="str">
            <v>A1020.10</v>
          </cell>
          <cell r="C35" t="str">
            <v>MD2 Weighbridge System Package (Rev 1a) ALC Ammendment (1st Round)</v>
          </cell>
          <cell r="D35" t="str">
            <v>9</v>
          </cell>
          <cell r="F35" t="str">
            <v>100%</v>
          </cell>
          <cell r="G35" t="str">
            <v>100%</v>
          </cell>
          <cell r="H35" t="str">
            <v>06 Oct 2021</v>
          </cell>
          <cell r="I35" t="str">
            <v>15 Oct 2021</v>
          </cell>
          <cell r="J35">
            <v>44475</v>
          </cell>
          <cell r="K35">
            <v>44484</v>
          </cell>
          <cell r="L35">
            <v>44475</v>
          </cell>
          <cell r="M35">
            <v>44484</v>
          </cell>
          <cell r="N35">
            <v>44475</v>
          </cell>
          <cell r="O35">
            <v>44484</v>
          </cell>
        </row>
        <row r="36">
          <cell r="A36" t="str">
            <v>A1020.11</v>
          </cell>
          <cell r="C36" t="str">
            <v>MD2 Weighbridge System Package (Rev 1b) Review (2nd Round)</v>
          </cell>
          <cell r="D36" t="str">
            <v>4</v>
          </cell>
          <cell r="F36" t="str">
            <v>100%</v>
          </cell>
          <cell r="G36" t="str">
            <v>100%</v>
          </cell>
          <cell r="H36" t="str">
            <v>16 Oct 2021</v>
          </cell>
          <cell r="I36" t="str">
            <v>20 Oct 2021</v>
          </cell>
          <cell r="J36">
            <v>44485</v>
          </cell>
          <cell r="K36">
            <v>44489</v>
          </cell>
          <cell r="L36">
            <v>44485</v>
          </cell>
          <cell r="M36">
            <v>44489</v>
          </cell>
          <cell r="N36">
            <v>44485</v>
          </cell>
          <cell r="O36">
            <v>44489</v>
          </cell>
        </row>
        <row r="37">
          <cell r="A37" t="str">
            <v>A1020.12</v>
          </cell>
          <cell r="C37" t="str">
            <v>MD2 Weighbridge System Package (Rev 1b) ALC Ammendment (2nd Round)</v>
          </cell>
          <cell r="D37" t="str">
            <v>4</v>
          </cell>
          <cell r="F37" t="str">
            <v>100%</v>
          </cell>
          <cell r="G37" t="str">
            <v>100%</v>
          </cell>
          <cell r="H37" t="str">
            <v>21 Oct 2021</v>
          </cell>
          <cell r="I37" t="str">
            <v>25 Oct 2021</v>
          </cell>
          <cell r="J37">
            <v>44490</v>
          </cell>
          <cell r="K37">
            <v>44494</v>
          </cell>
          <cell r="L37">
            <v>44490</v>
          </cell>
          <cell r="M37">
            <v>44494</v>
          </cell>
          <cell r="N37">
            <v>44490</v>
          </cell>
          <cell r="O37">
            <v>44494</v>
          </cell>
        </row>
        <row r="38">
          <cell r="A38" t="str">
            <v>A1020.13</v>
          </cell>
          <cell r="C38" t="str">
            <v>MD2 Weighbridge System Package (Rev 1) Review by SO/ NEA(Accepted with comments , Re-submission Required)</v>
          </cell>
          <cell r="D38" t="str">
            <v>70</v>
          </cell>
          <cell r="F38" t="str">
            <v>100%</v>
          </cell>
          <cell r="G38" t="str">
            <v>100%</v>
          </cell>
          <cell r="H38" t="str">
            <v>29 Oct 2021</v>
          </cell>
          <cell r="I38" t="str">
            <v>21 Jan 2022</v>
          </cell>
          <cell r="J38">
            <v>44498</v>
          </cell>
          <cell r="K38">
            <v>44582</v>
          </cell>
          <cell r="L38">
            <v>44498</v>
          </cell>
          <cell r="M38">
            <v>44582</v>
          </cell>
          <cell r="N38">
            <v>44498</v>
          </cell>
          <cell r="O38">
            <v>44582</v>
          </cell>
        </row>
        <row r="39">
          <cell r="A39" t="str">
            <v>A1020.14</v>
          </cell>
          <cell r="C39" t="str">
            <v>MD2 Weighbridge System Package (Rev XX) Review by SO/ NEA(Accepted with comments , No Re-submission Required)</v>
          </cell>
          <cell r="D39" t="str">
            <v>0</v>
          </cell>
          <cell r="F39" t="str">
            <v>100%</v>
          </cell>
          <cell r="G39" t="str">
            <v>100%</v>
          </cell>
          <cell r="H39" t="str">
            <v>24 Jan 2022</v>
          </cell>
          <cell r="I39" t="str">
            <v>30 Jan 2023</v>
          </cell>
          <cell r="J39">
            <v>44585</v>
          </cell>
          <cell r="K39">
            <v>45181</v>
          </cell>
          <cell r="L39">
            <v>44585</v>
          </cell>
          <cell r="M39">
            <v>44956</v>
          </cell>
          <cell r="N39">
            <v>44585</v>
          </cell>
          <cell r="O39">
            <v>45181</v>
          </cell>
        </row>
        <row r="40">
          <cell r="A40" t="str">
            <v>A1020.8</v>
          </cell>
          <cell r="C40" t="str">
            <v>ED1 AD2 Weighbridge System Package (Rev 1a) Ammendment by ALC on SO Comments and Re-submission to KSPL</v>
          </cell>
          <cell r="D40" t="str">
            <v>29</v>
          </cell>
          <cell r="F40" t="str">
            <v>100%</v>
          </cell>
          <cell r="G40" t="str">
            <v>100%</v>
          </cell>
          <cell r="H40" t="str">
            <v>28 Aug 2021</v>
          </cell>
          <cell r="I40" t="str">
            <v>30 Sep 2021</v>
          </cell>
          <cell r="J40">
            <v>44436</v>
          </cell>
          <cell r="K40">
            <v>44469</v>
          </cell>
          <cell r="L40">
            <v>44436</v>
          </cell>
          <cell r="M40">
            <v>44469</v>
          </cell>
          <cell r="N40">
            <v>44436</v>
          </cell>
          <cell r="O40">
            <v>44469</v>
          </cell>
        </row>
        <row r="41">
          <cell r="A41" t="str">
            <v>A1020.9</v>
          </cell>
          <cell r="C41" t="str">
            <v>ED1 AD2 Weighbridge System Package (Rev 1a) Review (1st Round)</v>
          </cell>
          <cell r="D41" t="str">
            <v>11.11</v>
          </cell>
          <cell r="F41" t="str">
            <v>100%</v>
          </cell>
          <cell r="G41" t="str">
            <v>100%</v>
          </cell>
          <cell r="H41" t="str">
            <v>30 Sep 2021</v>
          </cell>
          <cell r="I41" t="str">
            <v>14 Oct 2021</v>
          </cell>
          <cell r="J41">
            <v>44469</v>
          </cell>
          <cell r="K41">
            <v>44483</v>
          </cell>
          <cell r="L41">
            <v>44469</v>
          </cell>
          <cell r="M41">
            <v>44483</v>
          </cell>
          <cell r="N41">
            <v>44469</v>
          </cell>
          <cell r="O41">
            <v>44483</v>
          </cell>
        </row>
        <row r="42">
          <cell r="A42" t="str">
            <v>A1020.10</v>
          </cell>
          <cell r="C42" t="str">
            <v>ED1 AD2 Weighbridge System Package (Rev 1a) ALC Ammendment (1st Round)</v>
          </cell>
          <cell r="D42" t="str">
            <v>10</v>
          </cell>
          <cell r="F42" t="str">
            <v>100%</v>
          </cell>
          <cell r="G42" t="str">
            <v>100%</v>
          </cell>
          <cell r="H42" t="str">
            <v>14 Oct 2021</v>
          </cell>
          <cell r="I42" t="str">
            <v>26 Oct 2021</v>
          </cell>
          <cell r="J42">
            <v>44483</v>
          </cell>
          <cell r="K42">
            <v>44495</v>
          </cell>
          <cell r="L42">
            <v>44483</v>
          </cell>
          <cell r="M42">
            <v>44495</v>
          </cell>
          <cell r="N42">
            <v>44483</v>
          </cell>
          <cell r="O42">
            <v>44495</v>
          </cell>
        </row>
        <row r="43">
          <cell r="A43" t="str">
            <v>A1020.11</v>
          </cell>
          <cell r="C43" t="str">
            <v>ED1 AD2 Weighbridge System Package (Rev 1b) Review (2nd Round)</v>
          </cell>
          <cell r="D43" t="str">
            <v>1.11</v>
          </cell>
          <cell r="F43" t="str">
            <v>100%</v>
          </cell>
          <cell r="G43" t="str">
            <v>100%</v>
          </cell>
          <cell r="H43" t="str">
            <v>26 Oct 2021</v>
          </cell>
          <cell r="I43" t="str">
            <v>28 Oct 2021</v>
          </cell>
          <cell r="J43">
            <v>44495</v>
          </cell>
          <cell r="K43">
            <v>44497</v>
          </cell>
          <cell r="L43">
            <v>44495</v>
          </cell>
          <cell r="M43">
            <v>44497</v>
          </cell>
          <cell r="N43">
            <v>44495</v>
          </cell>
          <cell r="O43">
            <v>44497</v>
          </cell>
        </row>
        <row r="44">
          <cell r="A44" t="str">
            <v>A1020.12</v>
          </cell>
          <cell r="C44" t="str">
            <v>ED1 AD2 Weighbridge System Package (Rev 1b) ALC Ammendment (2nd Round)</v>
          </cell>
          <cell r="D44" t="str">
            <v>1</v>
          </cell>
          <cell r="F44" t="str">
            <v>100%</v>
          </cell>
          <cell r="G44" t="str">
            <v>100%</v>
          </cell>
          <cell r="H44" t="str">
            <v>28 Oct 2021</v>
          </cell>
          <cell r="I44" t="str">
            <v>29 Oct 2021</v>
          </cell>
          <cell r="J44">
            <v>44497</v>
          </cell>
          <cell r="K44">
            <v>44498</v>
          </cell>
          <cell r="L44">
            <v>44497</v>
          </cell>
          <cell r="M44">
            <v>44498</v>
          </cell>
          <cell r="N44">
            <v>44497</v>
          </cell>
          <cell r="O44">
            <v>44498</v>
          </cell>
        </row>
        <row r="45">
          <cell r="A45" t="str">
            <v>A1020.13</v>
          </cell>
          <cell r="C45" t="str">
            <v>ED1 AD2 Weighbridge System Package (Rev 1) Review by SO/ NEA</v>
          </cell>
          <cell r="D45" t="str">
            <v>8</v>
          </cell>
          <cell r="F45" t="str">
            <v>100%</v>
          </cell>
          <cell r="G45" t="str">
            <v>100%</v>
          </cell>
          <cell r="H45" t="str">
            <v>29 Oct 2021</v>
          </cell>
          <cell r="I45" t="str">
            <v>08 Nov 2021</v>
          </cell>
          <cell r="J45">
            <v>44498</v>
          </cell>
          <cell r="K45">
            <v>44508</v>
          </cell>
          <cell r="L45">
            <v>44498</v>
          </cell>
          <cell r="M45">
            <v>44508</v>
          </cell>
          <cell r="N45">
            <v>44498</v>
          </cell>
          <cell r="O45">
            <v>44508</v>
          </cell>
        </row>
        <row r="46">
          <cell r="A46" t="str">
            <v>A1020.14</v>
          </cell>
          <cell r="C46" t="str">
            <v>AD2 Weighbridge System Package (Rev 1) Review by SO/ NEA(Accepted with comments , Re-submission Required)</v>
          </cell>
          <cell r="D46" t="str">
            <v>71</v>
          </cell>
          <cell r="F46" t="str">
            <v>100%</v>
          </cell>
          <cell r="G46" t="str">
            <v>100%</v>
          </cell>
          <cell r="H46" t="str">
            <v>29 Oct 2021</v>
          </cell>
          <cell r="I46" t="str">
            <v>22 Jan 2022</v>
          </cell>
          <cell r="J46">
            <v>44498</v>
          </cell>
          <cell r="K46">
            <v>44583</v>
          </cell>
          <cell r="L46">
            <v>44498</v>
          </cell>
          <cell r="M46">
            <v>44583</v>
          </cell>
          <cell r="N46">
            <v>44498</v>
          </cell>
          <cell r="O46">
            <v>44583</v>
          </cell>
        </row>
        <row r="47">
          <cell r="A47" t="str">
            <v>A1020.15</v>
          </cell>
          <cell r="C47" t="str">
            <v>AD2 Weighbridge System Package (Rev XX) Review by SO/ NEA(Accepted with comments , Re-submission Required)</v>
          </cell>
          <cell r="D47" t="str">
            <v>0</v>
          </cell>
          <cell r="F47" t="str">
            <v>100%</v>
          </cell>
          <cell r="G47" t="str">
            <v>100%</v>
          </cell>
          <cell r="H47" t="str">
            <v>24 Jan 2022</v>
          </cell>
          <cell r="I47" t="str">
            <v>08 Jul 2023</v>
          </cell>
          <cell r="J47">
            <v>44585</v>
          </cell>
          <cell r="K47">
            <v>45201</v>
          </cell>
          <cell r="L47">
            <v>44585</v>
          </cell>
          <cell r="M47">
            <v>45115</v>
          </cell>
          <cell r="N47">
            <v>44585</v>
          </cell>
          <cell r="O47">
            <v>45201</v>
          </cell>
        </row>
        <row r="48">
          <cell r="A48" t="str">
            <v>A1030</v>
          </cell>
          <cell r="C48" t="str">
            <v>MD3 ED2 ED3 AD3 Preparation, Submission, Review &amp; Acceptance</v>
          </cell>
          <cell r="D48" t="str">
            <v>1068.53</v>
          </cell>
          <cell r="F48" t="str">
            <v>100%</v>
          </cell>
          <cell r="G48" t="str">
            <v>100%</v>
          </cell>
          <cell r="H48" t="str">
            <v>18 Jun 2021</v>
          </cell>
          <cell r="I48" t="str">
            <v>22 Jul 2023</v>
          </cell>
          <cell r="J48">
            <v>44365</v>
          </cell>
          <cell r="K48">
            <v>45646</v>
          </cell>
          <cell r="L48">
            <v>44365</v>
          </cell>
          <cell r="M48">
            <v>45129</v>
          </cell>
          <cell r="N48">
            <v>44365</v>
          </cell>
          <cell r="O48">
            <v>45646</v>
          </cell>
        </row>
        <row r="49">
          <cell r="A49" t="str">
            <v>A1030.1</v>
          </cell>
          <cell r="C49" t="str">
            <v>MD3 Preparation, Submission, Review &amp; Acceptance</v>
          </cell>
          <cell r="D49" t="str">
            <v>512</v>
          </cell>
          <cell r="F49" t="str">
            <v>100%</v>
          </cell>
          <cell r="G49" t="str">
            <v>100%</v>
          </cell>
          <cell r="H49" t="str">
            <v>25 Jun 2022</v>
          </cell>
          <cell r="I49" t="str">
            <v>25 Nov 2022</v>
          </cell>
          <cell r="J49">
            <v>44737</v>
          </cell>
          <cell r="K49">
            <v>45353</v>
          </cell>
          <cell r="L49">
            <v>44737</v>
          </cell>
          <cell r="M49">
            <v>44890</v>
          </cell>
          <cell r="N49">
            <v>44737</v>
          </cell>
          <cell r="O49">
            <v>45353</v>
          </cell>
        </row>
        <row r="50">
          <cell r="A50" t="str">
            <v>A1030.1</v>
          </cell>
          <cell r="C50" t="str">
            <v>MD3 Weighbridge System Package (Rev 0a) Preparation by ALC</v>
          </cell>
          <cell r="D50" t="str">
            <v>10</v>
          </cell>
          <cell r="F50" t="str">
            <v>100%</v>
          </cell>
          <cell r="G50" t="str">
            <v>100%</v>
          </cell>
          <cell r="H50" t="str">
            <v>25 Jun 2022</v>
          </cell>
          <cell r="I50" t="str">
            <v>06 Jul 2022</v>
          </cell>
          <cell r="J50">
            <v>44737</v>
          </cell>
          <cell r="K50">
            <v>44748</v>
          </cell>
          <cell r="L50">
            <v>44737</v>
          </cell>
          <cell r="M50">
            <v>44748</v>
          </cell>
          <cell r="N50">
            <v>44737</v>
          </cell>
          <cell r="O50">
            <v>44748</v>
          </cell>
        </row>
        <row r="51">
          <cell r="A51" t="str">
            <v>A1030.2</v>
          </cell>
          <cell r="C51" t="str">
            <v>MD3 Weighbridge System Package (Rev 0a) Submission to KSPL</v>
          </cell>
          <cell r="D51" t="str">
            <v>3</v>
          </cell>
          <cell r="F51" t="str">
            <v>100%</v>
          </cell>
          <cell r="G51" t="str">
            <v>100%</v>
          </cell>
          <cell r="H51" t="str">
            <v>07 Jul 2022</v>
          </cell>
          <cell r="I51" t="str">
            <v>09 Jul 2022</v>
          </cell>
          <cell r="J51">
            <v>44749</v>
          </cell>
          <cell r="K51">
            <v>44751</v>
          </cell>
          <cell r="L51">
            <v>44749</v>
          </cell>
          <cell r="M51">
            <v>44751</v>
          </cell>
          <cell r="N51">
            <v>44749</v>
          </cell>
          <cell r="O51">
            <v>44751</v>
          </cell>
        </row>
        <row r="52">
          <cell r="A52" t="str">
            <v>A1030.3</v>
          </cell>
          <cell r="C52" t="str">
            <v>MD3 Weighbridge System Package (Rev 0a) Review (1st Round)</v>
          </cell>
          <cell r="D52" t="str">
            <v>11</v>
          </cell>
          <cell r="F52" t="str">
            <v>100%</v>
          </cell>
          <cell r="G52" t="str">
            <v>100%</v>
          </cell>
          <cell r="H52" t="str">
            <v>12 Jul 2022</v>
          </cell>
          <cell r="I52" t="str">
            <v>23 Jul 2022</v>
          </cell>
          <cell r="J52">
            <v>44754</v>
          </cell>
          <cell r="K52">
            <v>44765</v>
          </cell>
          <cell r="L52">
            <v>44754</v>
          </cell>
          <cell r="M52">
            <v>44765</v>
          </cell>
          <cell r="N52">
            <v>44754</v>
          </cell>
          <cell r="O52">
            <v>44765</v>
          </cell>
        </row>
        <row r="53">
          <cell r="A53" t="str">
            <v>A1030.4</v>
          </cell>
          <cell r="C53" t="str">
            <v>MD3 Weighbridge System Package (Rev 0a) ALC Ammendment (1st Round)</v>
          </cell>
          <cell r="D53" t="str">
            <v>3</v>
          </cell>
          <cell r="F53" t="str">
            <v>100%</v>
          </cell>
          <cell r="G53" t="str">
            <v>100%</v>
          </cell>
          <cell r="H53" t="str">
            <v>25 Jul 2022</v>
          </cell>
          <cell r="I53" t="str">
            <v>27 Jul 2022</v>
          </cell>
          <cell r="J53">
            <v>44767</v>
          </cell>
          <cell r="K53">
            <v>44769</v>
          </cell>
          <cell r="L53">
            <v>44767</v>
          </cell>
          <cell r="M53">
            <v>44769</v>
          </cell>
          <cell r="N53">
            <v>44767</v>
          </cell>
          <cell r="O53">
            <v>44769</v>
          </cell>
        </row>
        <row r="54">
          <cell r="A54" t="str">
            <v>A1030.5</v>
          </cell>
          <cell r="C54" t="str">
            <v>MD3 Weighbridge System Package (Rev 0b) Review (2nd Round)</v>
          </cell>
          <cell r="D54" t="str">
            <v>8</v>
          </cell>
          <cell r="F54" t="str">
            <v>100%</v>
          </cell>
          <cell r="G54" t="str">
            <v>100%</v>
          </cell>
          <cell r="H54" t="str">
            <v>28 Jul 2022</v>
          </cell>
          <cell r="I54" t="str">
            <v>05 Aug 2022</v>
          </cell>
          <cell r="J54">
            <v>44770</v>
          </cell>
          <cell r="K54">
            <v>44778</v>
          </cell>
          <cell r="L54">
            <v>44770</v>
          </cell>
          <cell r="M54">
            <v>44778</v>
          </cell>
          <cell r="N54">
            <v>44770</v>
          </cell>
          <cell r="O54">
            <v>44778</v>
          </cell>
        </row>
        <row r="55">
          <cell r="A55" t="str">
            <v>A1030.6</v>
          </cell>
          <cell r="C55" t="str">
            <v>MD3 Weighbridge System Package (Rev 0b) ALC Ammendment (2nd Round)</v>
          </cell>
          <cell r="D55" t="str">
            <v>5</v>
          </cell>
          <cell r="F55" t="str">
            <v>100%</v>
          </cell>
          <cell r="G55" t="str">
            <v>100%</v>
          </cell>
          <cell r="H55" t="str">
            <v>06 Aug 2022</v>
          </cell>
          <cell r="I55" t="str">
            <v>12 Aug 2022</v>
          </cell>
          <cell r="J55">
            <v>44779</v>
          </cell>
          <cell r="K55">
            <v>44785</v>
          </cell>
          <cell r="L55">
            <v>44779</v>
          </cell>
          <cell r="M55">
            <v>44785</v>
          </cell>
          <cell r="N55">
            <v>44779</v>
          </cell>
          <cell r="O55">
            <v>44785</v>
          </cell>
        </row>
        <row r="56">
          <cell r="A56" t="str">
            <v>A1030.7</v>
          </cell>
          <cell r="C56" t="str">
            <v>MD3 Weighbridge System Package (Rev 0) Review by SO/ NEA</v>
          </cell>
          <cell r="D56" t="str">
            <v>66</v>
          </cell>
          <cell r="F56" t="str">
            <v>100%</v>
          </cell>
          <cell r="G56" t="str">
            <v>100%</v>
          </cell>
          <cell r="H56" t="str">
            <v>13 Aug 2022</v>
          </cell>
          <cell r="I56" t="str">
            <v>01 Sep 2022</v>
          </cell>
          <cell r="J56">
            <v>45104</v>
          </cell>
          <cell r="K56">
            <v>45182</v>
          </cell>
          <cell r="L56">
            <v>44786</v>
          </cell>
          <cell r="M56">
            <v>44805</v>
          </cell>
          <cell r="N56">
            <v>45104</v>
          </cell>
          <cell r="O56">
            <v>45182</v>
          </cell>
        </row>
        <row r="57">
          <cell r="A57" t="str">
            <v>A1030.8</v>
          </cell>
          <cell r="C57" t="str">
            <v>MD3 Weighbridge System Package (Rev 1a) Ammendment by ALC on SO comments and Re-submission to KSPL</v>
          </cell>
          <cell r="D57" t="str">
            <v>17.35</v>
          </cell>
          <cell r="F57" t="str">
            <v>100%</v>
          </cell>
          <cell r="G57" t="str">
            <v>100%</v>
          </cell>
          <cell r="H57" t="str">
            <v>02 Sep 2022</v>
          </cell>
          <cell r="I57" t="str">
            <v>09 Sep 2022</v>
          </cell>
          <cell r="J57">
            <v>45182</v>
          </cell>
          <cell r="K57">
            <v>45219</v>
          </cell>
          <cell r="L57">
            <v>44806</v>
          </cell>
          <cell r="M57">
            <v>44813</v>
          </cell>
          <cell r="N57">
            <v>45182</v>
          </cell>
          <cell r="O57">
            <v>45219</v>
          </cell>
        </row>
        <row r="58">
          <cell r="A58" t="str">
            <v>A1030.9</v>
          </cell>
          <cell r="C58" t="str">
            <v>MD3 Weighbridge System Package (Rev 1a) Review (1st Round)</v>
          </cell>
          <cell r="D58" t="str">
            <v>1</v>
          </cell>
          <cell r="F58" t="str">
            <v>100%</v>
          </cell>
          <cell r="G58" t="str">
            <v>100%</v>
          </cell>
          <cell r="H58" t="str">
            <v>10 Sep 2022</v>
          </cell>
          <cell r="I58" t="str">
            <v>16 Sep 2022</v>
          </cell>
          <cell r="J58">
            <v>45220</v>
          </cell>
          <cell r="K58">
            <v>45220</v>
          </cell>
          <cell r="L58">
            <v>44814</v>
          </cell>
          <cell r="M58">
            <v>44820</v>
          </cell>
          <cell r="N58">
            <v>45220</v>
          </cell>
          <cell r="O58">
            <v>45220</v>
          </cell>
        </row>
        <row r="59">
          <cell r="A59" t="str">
            <v>A1030.10</v>
          </cell>
          <cell r="C59" t="str">
            <v>MD3 Weighbridge System Package (Rev 1a) ALC Ammendment (1st Round)</v>
          </cell>
          <cell r="D59" t="str">
            <v>1</v>
          </cell>
          <cell r="F59" t="str">
            <v>100%</v>
          </cell>
          <cell r="G59" t="str">
            <v>100%</v>
          </cell>
          <cell r="H59" t="str">
            <v>17 Sep 2022</v>
          </cell>
          <cell r="I59" t="str">
            <v>21 Sep 2022</v>
          </cell>
          <cell r="J59">
            <v>45222</v>
          </cell>
          <cell r="K59">
            <v>45222</v>
          </cell>
          <cell r="L59">
            <v>44821</v>
          </cell>
          <cell r="M59">
            <v>44825</v>
          </cell>
          <cell r="N59">
            <v>45222</v>
          </cell>
          <cell r="O59">
            <v>45222</v>
          </cell>
        </row>
        <row r="60">
          <cell r="A60" t="str">
            <v>A1030.11</v>
          </cell>
          <cell r="C60" t="str">
            <v>MD3 Weighbridge System Package (Rev 1b) Review (2nd Round)</v>
          </cell>
          <cell r="D60" t="str">
            <v>1</v>
          </cell>
          <cell r="F60" t="str">
            <v>100%</v>
          </cell>
          <cell r="G60" t="str">
            <v>100%</v>
          </cell>
          <cell r="H60" t="str">
            <v>22 Sep 2022</v>
          </cell>
          <cell r="I60" t="str">
            <v>29 Sep 2022</v>
          </cell>
          <cell r="J60">
            <v>45223</v>
          </cell>
          <cell r="K60">
            <v>45223</v>
          </cell>
          <cell r="L60">
            <v>44826</v>
          </cell>
          <cell r="M60">
            <v>44833</v>
          </cell>
          <cell r="N60">
            <v>45223</v>
          </cell>
          <cell r="O60">
            <v>45223</v>
          </cell>
        </row>
        <row r="61">
          <cell r="A61" t="str">
            <v>A1030.12</v>
          </cell>
          <cell r="C61" t="str">
            <v>MD3 Weighbridge System Package (Rev 1b) ALC Ammendment (2nd Round)</v>
          </cell>
          <cell r="D61" t="str">
            <v>1</v>
          </cell>
          <cell r="F61" t="str">
            <v>100%</v>
          </cell>
          <cell r="G61" t="str">
            <v>100%</v>
          </cell>
          <cell r="H61" t="str">
            <v>30 Sep 2022</v>
          </cell>
          <cell r="I61" t="str">
            <v>04 Oct 2022</v>
          </cell>
          <cell r="J61">
            <v>45224</v>
          </cell>
          <cell r="K61">
            <v>45224</v>
          </cell>
          <cell r="L61">
            <v>44834</v>
          </cell>
          <cell r="M61">
            <v>44838</v>
          </cell>
          <cell r="N61">
            <v>45224</v>
          </cell>
          <cell r="O61">
            <v>45224</v>
          </cell>
        </row>
        <row r="62">
          <cell r="A62" t="str">
            <v>A1030.13</v>
          </cell>
          <cell r="C62" t="str">
            <v>MD3 Weighbridge System Package (Rev 1) Review by SO/ NEA</v>
          </cell>
          <cell r="D62" t="str">
            <v>20.5</v>
          </cell>
          <cell r="F62" t="str">
            <v>100%</v>
          </cell>
          <cell r="G62" t="str">
            <v>100%</v>
          </cell>
          <cell r="H62" t="str">
            <v>05 Oct 2022</v>
          </cell>
          <cell r="I62" t="str">
            <v>25 Oct 2022</v>
          </cell>
          <cell r="J62">
            <v>45225</v>
          </cell>
          <cell r="K62">
            <v>45320</v>
          </cell>
          <cell r="L62">
            <v>44839</v>
          </cell>
          <cell r="M62">
            <v>44859</v>
          </cell>
          <cell r="N62">
            <v>45225</v>
          </cell>
          <cell r="O62">
            <v>45320</v>
          </cell>
        </row>
        <row r="63">
          <cell r="A63" t="str">
            <v>A1030.14</v>
          </cell>
          <cell r="C63" t="str">
            <v>MD3 Weighbridge System Package (Review 2 and above monitored accepted with comments, No Re-submission Required)</v>
          </cell>
          <cell r="D63" t="str">
            <v>27</v>
          </cell>
          <cell r="F63" t="str">
            <v>100%</v>
          </cell>
          <cell r="G63" t="str">
            <v>100%</v>
          </cell>
          <cell r="H63" t="str">
            <v>26 Oct 2022</v>
          </cell>
          <cell r="I63" t="str">
            <v>25 Nov 2022</v>
          </cell>
          <cell r="J63">
            <v>45321</v>
          </cell>
          <cell r="K63">
            <v>45353</v>
          </cell>
          <cell r="L63">
            <v>44860</v>
          </cell>
          <cell r="M63">
            <v>44890</v>
          </cell>
          <cell r="N63">
            <v>45321</v>
          </cell>
          <cell r="O63">
            <v>45353</v>
          </cell>
        </row>
        <row r="64">
          <cell r="A64" t="str">
            <v>A1030.2</v>
          </cell>
          <cell r="C64" t="str">
            <v>ED2 Preparation, Submission, Review &amp; Acceptance</v>
          </cell>
          <cell r="D64" t="str">
            <v>1068.53</v>
          </cell>
          <cell r="F64" t="str">
            <v>100%</v>
          </cell>
          <cell r="G64" t="str">
            <v>100%</v>
          </cell>
          <cell r="H64" t="str">
            <v>18 Jun 2021</v>
          </cell>
          <cell r="I64" t="str">
            <v>14 Jul 2023</v>
          </cell>
          <cell r="J64">
            <v>44365</v>
          </cell>
          <cell r="K64">
            <v>45646</v>
          </cell>
          <cell r="L64">
            <v>44365</v>
          </cell>
          <cell r="M64">
            <v>45121</v>
          </cell>
          <cell r="N64">
            <v>44365</v>
          </cell>
          <cell r="O64">
            <v>45646</v>
          </cell>
        </row>
        <row r="65">
          <cell r="A65" t="str">
            <v>A1030.2.1</v>
          </cell>
          <cell r="C65" t="str">
            <v>ED2 Weighbridge System Package (Rev 0a) Preparation by ALC</v>
          </cell>
          <cell r="D65" t="str">
            <v>67</v>
          </cell>
          <cell r="F65" t="str">
            <v>100%</v>
          </cell>
          <cell r="G65" t="str">
            <v>100%</v>
          </cell>
          <cell r="H65" t="str">
            <v>18 Jun 2021</v>
          </cell>
          <cell r="I65" t="str">
            <v>04 Sep 2021</v>
          </cell>
          <cell r="J65">
            <v>44365</v>
          </cell>
          <cell r="K65">
            <v>44443</v>
          </cell>
          <cell r="L65">
            <v>44365</v>
          </cell>
          <cell r="M65">
            <v>44443</v>
          </cell>
          <cell r="N65">
            <v>44365</v>
          </cell>
          <cell r="O65">
            <v>44443</v>
          </cell>
        </row>
        <row r="66">
          <cell r="A66" t="str">
            <v>A1030.2.2</v>
          </cell>
          <cell r="C66" t="str">
            <v>ED2 Weighbridge System Package (Rev 0a) Submission to KSPL</v>
          </cell>
          <cell r="D66" t="str">
            <v>2</v>
          </cell>
          <cell r="F66" t="str">
            <v>100%</v>
          </cell>
          <cell r="G66" t="str">
            <v>100%</v>
          </cell>
          <cell r="H66" t="str">
            <v>06 Sep 2021</v>
          </cell>
          <cell r="I66" t="str">
            <v>07 Sep 2021</v>
          </cell>
          <cell r="J66">
            <v>44445</v>
          </cell>
          <cell r="K66">
            <v>44446</v>
          </cell>
          <cell r="L66">
            <v>44445</v>
          </cell>
          <cell r="M66">
            <v>44446</v>
          </cell>
          <cell r="N66">
            <v>44445</v>
          </cell>
          <cell r="O66">
            <v>44446</v>
          </cell>
        </row>
        <row r="67">
          <cell r="A67" t="str">
            <v>A1030.2.3</v>
          </cell>
          <cell r="C67" t="str">
            <v>ED2 Weighbridge System Package (Rev 0a) Review (1st Round)</v>
          </cell>
          <cell r="D67" t="str">
            <v>12</v>
          </cell>
          <cell r="F67" t="str">
            <v>100%</v>
          </cell>
          <cell r="G67" t="str">
            <v>100%</v>
          </cell>
          <cell r="H67" t="str">
            <v>08 Sep 2021</v>
          </cell>
          <cell r="I67" t="str">
            <v>21 Sep 2021</v>
          </cell>
          <cell r="J67">
            <v>44447</v>
          </cell>
          <cell r="K67">
            <v>44460</v>
          </cell>
          <cell r="L67">
            <v>44447</v>
          </cell>
          <cell r="M67">
            <v>44460</v>
          </cell>
          <cell r="N67">
            <v>44447</v>
          </cell>
          <cell r="O67">
            <v>44460</v>
          </cell>
        </row>
        <row r="68">
          <cell r="A68" t="str">
            <v>A1030.2.4</v>
          </cell>
          <cell r="C68" t="str">
            <v>ED2 Weighbridge System Package (Rev 0a) ALC Ammendment (1st Round)</v>
          </cell>
          <cell r="D68" t="str">
            <v>8</v>
          </cell>
          <cell r="F68" t="str">
            <v>100%</v>
          </cell>
          <cell r="G68" t="str">
            <v>100%</v>
          </cell>
          <cell r="H68" t="str">
            <v>22 Sep 2021</v>
          </cell>
          <cell r="I68" t="str">
            <v>30 Sep 2021</v>
          </cell>
          <cell r="J68">
            <v>44461</v>
          </cell>
          <cell r="K68">
            <v>44469</v>
          </cell>
          <cell r="L68">
            <v>44461</v>
          </cell>
          <cell r="M68">
            <v>44469</v>
          </cell>
          <cell r="N68">
            <v>44461</v>
          </cell>
          <cell r="O68">
            <v>44469</v>
          </cell>
        </row>
        <row r="69">
          <cell r="A69" t="str">
            <v>A1030.2.5</v>
          </cell>
          <cell r="C69" t="str">
            <v>ED2 Weighbridge System Package (Rev 0b) Review (2nd Round)</v>
          </cell>
          <cell r="D69" t="str">
            <v>6</v>
          </cell>
          <cell r="F69" t="str">
            <v>100%</v>
          </cell>
          <cell r="G69" t="str">
            <v>100%</v>
          </cell>
          <cell r="H69" t="str">
            <v>01 Oct 2021</v>
          </cell>
          <cell r="I69" t="str">
            <v>07 Oct 2021</v>
          </cell>
          <cell r="J69">
            <v>44470</v>
          </cell>
          <cell r="K69">
            <v>44476</v>
          </cell>
          <cell r="L69">
            <v>44470</v>
          </cell>
          <cell r="M69">
            <v>44476</v>
          </cell>
          <cell r="N69">
            <v>44470</v>
          </cell>
          <cell r="O69">
            <v>44476</v>
          </cell>
        </row>
        <row r="70">
          <cell r="A70" t="str">
            <v>A1030.2.6</v>
          </cell>
          <cell r="C70" t="str">
            <v>ED2 Weighbridge System Package (Rev 0b) ALC Ammendment (2nd Round)</v>
          </cell>
          <cell r="D70" t="str">
            <v>8</v>
          </cell>
          <cell r="F70" t="str">
            <v>100%</v>
          </cell>
          <cell r="G70" t="str">
            <v>100%</v>
          </cell>
          <cell r="H70" t="str">
            <v>07 Oct 2021</v>
          </cell>
          <cell r="I70" t="str">
            <v>15 Oct 2021</v>
          </cell>
          <cell r="J70">
            <v>44476</v>
          </cell>
          <cell r="K70">
            <v>44484</v>
          </cell>
          <cell r="L70">
            <v>44476</v>
          </cell>
          <cell r="M70">
            <v>44484</v>
          </cell>
          <cell r="N70">
            <v>44476</v>
          </cell>
          <cell r="O70">
            <v>44484</v>
          </cell>
        </row>
        <row r="71">
          <cell r="A71" t="str">
            <v>A1030.2.7</v>
          </cell>
          <cell r="C71" t="str">
            <v>ED2 Weighbridge System Package (Rev 0) Review by SO/ NEA</v>
          </cell>
          <cell r="D71" t="str">
            <v>11</v>
          </cell>
          <cell r="F71" t="str">
            <v>100%</v>
          </cell>
          <cell r="G71" t="str">
            <v>100%</v>
          </cell>
          <cell r="H71" t="str">
            <v>06 May 2022</v>
          </cell>
          <cell r="I71" t="str">
            <v>18 May 2022</v>
          </cell>
          <cell r="J71">
            <v>44687</v>
          </cell>
          <cell r="K71">
            <v>44699</v>
          </cell>
          <cell r="L71">
            <v>44687</v>
          </cell>
          <cell r="M71">
            <v>44699</v>
          </cell>
          <cell r="N71">
            <v>44687</v>
          </cell>
          <cell r="O71">
            <v>44699</v>
          </cell>
        </row>
        <row r="72">
          <cell r="A72" t="str">
            <v>A1030.2.8</v>
          </cell>
          <cell r="C72" t="str">
            <v>ED2 Weighbridge System Package (Rev 1a) Ammendment by ALC on SO comments and Re-submission to KSPL</v>
          </cell>
          <cell r="D72" t="str">
            <v>30</v>
          </cell>
          <cell r="F72" t="str">
            <v>100%</v>
          </cell>
          <cell r="G72" t="str">
            <v>100%</v>
          </cell>
          <cell r="H72" t="str">
            <v>19 May 2022</v>
          </cell>
          <cell r="I72" t="str">
            <v>22 Jun 2022</v>
          </cell>
          <cell r="J72">
            <v>44700</v>
          </cell>
          <cell r="K72">
            <v>44734</v>
          </cell>
          <cell r="L72">
            <v>44700</v>
          </cell>
          <cell r="M72">
            <v>44734</v>
          </cell>
          <cell r="N72">
            <v>44700</v>
          </cell>
          <cell r="O72">
            <v>44734</v>
          </cell>
        </row>
        <row r="73">
          <cell r="A73" t="str">
            <v>A1030.2.9</v>
          </cell>
          <cell r="C73" t="str">
            <v>ED2 Weighbridge System Package (Rev 1a) Review (1st Round)</v>
          </cell>
          <cell r="D73" t="str">
            <v>6</v>
          </cell>
          <cell r="F73" t="str">
            <v>100%</v>
          </cell>
          <cell r="G73" t="str">
            <v>100%</v>
          </cell>
          <cell r="H73" t="str">
            <v>23 Jun 2022</v>
          </cell>
          <cell r="I73" t="str">
            <v>29 Jun 2022</v>
          </cell>
          <cell r="J73">
            <v>44735</v>
          </cell>
          <cell r="K73">
            <v>44741</v>
          </cell>
          <cell r="L73">
            <v>44735</v>
          </cell>
          <cell r="M73">
            <v>44741</v>
          </cell>
          <cell r="N73">
            <v>44735</v>
          </cell>
          <cell r="O73">
            <v>44741</v>
          </cell>
        </row>
        <row r="74">
          <cell r="A74" t="str">
            <v>A1030.2.10</v>
          </cell>
          <cell r="C74" t="str">
            <v>ED2 Weighbridge System Package (Rev 1a) ALC Ammendment (1st Round)</v>
          </cell>
          <cell r="D74" t="str">
            <v>26.11</v>
          </cell>
          <cell r="F74" t="str">
            <v>100%</v>
          </cell>
          <cell r="G74" t="str">
            <v>100%</v>
          </cell>
          <cell r="H74" t="str">
            <v>30 Jun 2022</v>
          </cell>
          <cell r="I74" t="str">
            <v>01 Aug 2022</v>
          </cell>
          <cell r="J74">
            <v>44742</v>
          </cell>
          <cell r="K74">
            <v>44774</v>
          </cell>
          <cell r="L74">
            <v>44742</v>
          </cell>
          <cell r="M74">
            <v>44774</v>
          </cell>
          <cell r="N74">
            <v>44742</v>
          </cell>
          <cell r="O74">
            <v>44774</v>
          </cell>
        </row>
        <row r="75">
          <cell r="A75" t="str">
            <v>A1030.2.11</v>
          </cell>
          <cell r="C75" t="str">
            <v>ED2 Weighbridge System Package (Rev 1b) Review (2nd Round)</v>
          </cell>
          <cell r="D75" t="str">
            <v>7.11</v>
          </cell>
          <cell r="F75" t="str">
            <v>100%</v>
          </cell>
          <cell r="G75" t="str">
            <v>100%</v>
          </cell>
          <cell r="H75" t="str">
            <v>02 Aug 2022</v>
          </cell>
          <cell r="I75" t="str">
            <v>11 Aug 2022</v>
          </cell>
          <cell r="J75">
            <v>44775</v>
          </cell>
          <cell r="K75">
            <v>44784</v>
          </cell>
          <cell r="L75">
            <v>44775</v>
          </cell>
          <cell r="M75">
            <v>44784</v>
          </cell>
          <cell r="N75">
            <v>44775</v>
          </cell>
          <cell r="O75">
            <v>44784</v>
          </cell>
        </row>
        <row r="76">
          <cell r="A76" t="str">
            <v>A1030.2.12</v>
          </cell>
          <cell r="C76" t="str">
            <v>ED2 Weighbridge System Package (Rev 1b) ALC Ammendment (2nd Round)</v>
          </cell>
          <cell r="D76" t="str">
            <v>8</v>
          </cell>
          <cell r="F76" t="str">
            <v>100%</v>
          </cell>
          <cell r="G76" t="str">
            <v>100%</v>
          </cell>
          <cell r="H76" t="str">
            <v>12 Aug 2022</v>
          </cell>
          <cell r="I76" t="str">
            <v>20 Aug 2022</v>
          </cell>
          <cell r="J76">
            <v>44785</v>
          </cell>
          <cell r="K76">
            <v>44793</v>
          </cell>
          <cell r="L76">
            <v>44785</v>
          </cell>
          <cell r="M76">
            <v>44793</v>
          </cell>
          <cell r="N76">
            <v>44785</v>
          </cell>
          <cell r="O76">
            <v>44793</v>
          </cell>
        </row>
        <row r="77">
          <cell r="A77" t="str">
            <v>A1030.2.13</v>
          </cell>
          <cell r="C77" t="str">
            <v>ED2 Weighbridge System Package (Rev 1) Review by SO/ NEA</v>
          </cell>
          <cell r="D77" t="str">
            <v>10</v>
          </cell>
          <cell r="F77" t="str">
            <v>100%</v>
          </cell>
          <cell r="G77" t="str">
            <v>100%</v>
          </cell>
          <cell r="H77" t="str">
            <v>23 Aug 2022</v>
          </cell>
          <cell r="I77" t="str">
            <v>02 Sep 2022</v>
          </cell>
          <cell r="J77">
            <v>44796</v>
          </cell>
          <cell r="K77">
            <v>44806</v>
          </cell>
          <cell r="L77">
            <v>44796</v>
          </cell>
          <cell r="M77">
            <v>44806</v>
          </cell>
          <cell r="N77">
            <v>44796</v>
          </cell>
          <cell r="O77">
            <v>44806</v>
          </cell>
        </row>
        <row r="78">
          <cell r="A78" t="str">
            <v>A1030.2.14</v>
          </cell>
          <cell r="C78" t="str">
            <v>ED2 Weighbridge System Package (Review 2 and above monitored accepted with comments, No Re-submission Required)</v>
          </cell>
          <cell r="D78" t="str">
            <v>27.11</v>
          </cell>
          <cell r="F78" t="str">
            <v>100%</v>
          </cell>
          <cell r="G78" t="str">
            <v>100%</v>
          </cell>
          <cell r="H78" t="str">
            <v>05 Sep 2022</v>
          </cell>
          <cell r="I78" t="str">
            <v>14 Jul 2023</v>
          </cell>
          <cell r="J78">
            <v>44809</v>
          </cell>
          <cell r="K78">
            <v>45646</v>
          </cell>
          <cell r="L78">
            <v>44809</v>
          </cell>
          <cell r="M78">
            <v>45121</v>
          </cell>
          <cell r="N78">
            <v>44809</v>
          </cell>
          <cell r="O78">
            <v>45646</v>
          </cell>
        </row>
        <row r="79">
          <cell r="A79" t="str">
            <v>A1030.3</v>
          </cell>
          <cell r="C79" t="str">
            <v>ED3 Preparation, Submission, Review &amp; Acceptance</v>
          </cell>
          <cell r="D79" t="str">
            <v>304.6</v>
          </cell>
          <cell r="F79" t="str">
            <v>100%</v>
          </cell>
          <cell r="G79" t="str">
            <v>100%</v>
          </cell>
          <cell r="H79" t="str">
            <v>03 Sep 2022</v>
          </cell>
          <cell r="I79" t="str">
            <v>22 Jul 2023</v>
          </cell>
          <cell r="J79">
            <v>45124</v>
          </cell>
          <cell r="K79">
            <v>45490</v>
          </cell>
          <cell r="L79">
            <v>44807</v>
          </cell>
          <cell r="M79">
            <v>45129</v>
          </cell>
          <cell r="N79">
            <v>45124</v>
          </cell>
          <cell r="O79">
            <v>45490</v>
          </cell>
        </row>
        <row r="80">
          <cell r="A80" t="str">
            <v>A1030.3.1</v>
          </cell>
          <cell r="C80" t="str">
            <v>ED3 Weighbridge System Package (Rev 0a) Preparation by ALC</v>
          </cell>
          <cell r="D80" t="str">
            <v>11</v>
          </cell>
          <cell r="F80" t="str">
            <v>100%</v>
          </cell>
          <cell r="G80" t="str">
            <v>100%</v>
          </cell>
          <cell r="H80" t="str">
            <v>03 Sep 2022</v>
          </cell>
          <cell r="I80" t="str">
            <v>05 Oct 2022</v>
          </cell>
          <cell r="J80">
            <v>45124</v>
          </cell>
          <cell r="K80">
            <v>45135</v>
          </cell>
          <cell r="L80">
            <v>44807</v>
          </cell>
          <cell r="M80">
            <v>44839</v>
          </cell>
          <cell r="N80">
            <v>45124</v>
          </cell>
          <cell r="O80">
            <v>45135</v>
          </cell>
        </row>
        <row r="81">
          <cell r="A81" t="str">
            <v>A1030.3.2</v>
          </cell>
          <cell r="C81" t="str">
            <v>ED3 Weighbridge System Package (Rev 0a) Submission to KSPL</v>
          </cell>
          <cell r="D81" t="str">
            <v>2</v>
          </cell>
          <cell r="F81" t="str">
            <v>100%</v>
          </cell>
          <cell r="G81" t="str">
            <v>100%</v>
          </cell>
          <cell r="H81" t="str">
            <v>04 Oct 2022</v>
          </cell>
          <cell r="I81" t="str">
            <v>05 Oct 2022</v>
          </cell>
          <cell r="J81">
            <v>45135</v>
          </cell>
          <cell r="K81">
            <v>45136</v>
          </cell>
          <cell r="L81">
            <v>44838</v>
          </cell>
          <cell r="M81">
            <v>44839</v>
          </cell>
          <cell r="N81">
            <v>45135</v>
          </cell>
          <cell r="O81">
            <v>45136</v>
          </cell>
        </row>
        <row r="82">
          <cell r="A82" t="str">
            <v>A1030.3.3</v>
          </cell>
          <cell r="C82" t="str">
            <v>ED3 Weighbridge System Package (Rev 0a) Review (1st Round)</v>
          </cell>
          <cell r="D82" t="str">
            <v>2</v>
          </cell>
          <cell r="F82" t="str">
            <v>100%</v>
          </cell>
          <cell r="G82" t="str">
            <v>100%</v>
          </cell>
          <cell r="H82" t="str">
            <v>07 Oct 2022</v>
          </cell>
          <cell r="I82" t="str">
            <v>19 Oct 2022</v>
          </cell>
          <cell r="J82">
            <v>45135</v>
          </cell>
          <cell r="K82">
            <v>45136</v>
          </cell>
          <cell r="L82">
            <v>44841</v>
          </cell>
          <cell r="M82">
            <v>44853</v>
          </cell>
          <cell r="N82">
            <v>45135</v>
          </cell>
          <cell r="O82">
            <v>45136</v>
          </cell>
        </row>
        <row r="83">
          <cell r="A83" t="str">
            <v>A1030.3.4</v>
          </cell>
          <cell r="C83" t="str">
            <v>ED3 Weighbridge System Package (Rev 0a) ALC Ammendment (1st Round)</v>
          </cell>
          <cell r="D83" t="str">
            <v>2</v>
          </cell>
          <cell r="F83" t="str">
            <v>100%</v>
          </cell>
          <cell r="G83" t="str">
            <v>100%</v>
          </cell>
          <cell r="H83" t="str">
            <v>20 Oct 2022</v>
          </cell>
          <cell r="I83" t="str">
            <v>26 Oct 2022</v>
          </cell>
          <cell r="J83">
            <v>45135</v>
          </cell>
          <cell r="K83">
            <v>45136</v>
          </cell>
          <cell r="L83">
            <v>44854</v>
          </cell>
          <cell r="M83">
            <v>44860</v>
          </cell>
          <cell r="N83">
            <v>45135</v>
          </cell>
          <cell r="O83">
            <v>45136</v>
          </cell>
        </row>
        <row r="84">
          <cell r="A84" t="str">
            <v>A1030.3.5</v>
          </cell>
          <cell r="C84" t="str">
            <v>ED3 Weighbridge System Package (Rev 0b) Review (2nd Round)</v>
          </cell>
          <cell r="D84" t="str">
            <v>2</v>
          </cell>
          <cell r="F84" t="str">
            <v>100%</v>
          </cell>
          <cell r="G84" t="str">
            <v>100%</v>
          </cell>
          <cell r="H84" t="str">
            <v>28 Oct 2022</v>
          </cell>
          <cell r="I84" t="str">
            <v>04 Nov 2022</v>
          </cell>
          <cell r="J84">
            <v>45135</v>
          </cell>
          <cell r="K84">
            <v>45136</v>
          </cell>
          <cell r="L84">
            <v>44862</v>
          </cell>
          <cell r="M84">
            <v>44869</v>
          </cell>
          <cell r="N84">
            <v>45135</v>
          </cell>
          <cell r="O84">
            <v>45136</v>
          </cell>
        </row>
        <row r="85">
          <cell r="A85" t="str">
            <v>A1030.3.6</v>
          </cell>
          <cell r="C85" t="str">
            <v>ED3 Weighbridge System Package (Rev 0b) ALC Ammendment (2nd Round)</v>
          </cell>
          <cell r="D85" t="str">
            <v>2</v>
          </cell>
          <cell r="F85" t="str">
            <v>100%</v>
          </cell>
          <cell r="G85" t="str">
            <v>100%</v>
          </cell>
          <cell r="H85" t="str">
            <v>05 Nov 2022</v>
          </cell>
          <cell r="I85" t="str">
            <v>09 Nov 2022</v>
          </cell>
          <cell r="J85">
            <v>45135</v>
          </cell>
          <cell r="K85">
            <v>45136</v>
          </cell>
          <cell r="L85">
            <v>44870</v>
          </cell>
          <cell r="M85">
            <v>44874</v>
          </cell>
          <cell r="N85">
            <v>45135</v>
          </cell>
          <cell r="O85">
            <v>45136</v>
          </cell>
        </row>
        <row r="86">
          <cell r="A86" t="str">
            <v>A1030.3.7</v>
          </cell>
          <cell r="C86" t="str">
            <v>ED3 Weighbridge System Package (Rev 0) Review by SO/ NEA</v>
          </cell>
          <cell r="D86" t="str">
            <v>0</v>
          </cell>
          <cell r="F86" t="str">
            <v>100%</v>
          </cell>
          <cell r="G86" t="str">
            <v>100%</v>
          </cell>
          <cell r="H86" t="str">
            <v>09 Nov 2022</v>
          </cell>
          <cell r="I86" t="str">
            <v>07 Nov 2022</v>
          </cell>
          <cell r="J86">
            <v>45138</v>
          </cell>
          <cell r="K86">
            <v>45154</v>
          </cell>
          <cell r="L86">
            <v>44874</v>
          </cell>
          <cell r="M86">
            <v>44872</v>
          </cell>
          <cell r="N86">
            <v>45138</v>
          </cell>
          <cell r="O86">
            <v>45154</v>
          </cell>
        </row>
        <row r="87">
          <cell r="A87" t="str">
            <v>A1030.3.8</v>
          </cell>
          <cell r="C87" t="str">
            <v>ED3 Weighbridge System Package (Rev 1a) Ammendment by ALC on SO comments and Re-submission to KSPL</v>
          </cell>
          <cell r="D87" t="str">
            <v>5.6</v>
          </cell>
          <cell r="F87" t="str">
            <v>100%</v>
          </cell>
          <cell r="G87" t="str">
            <v>100%</v>
          </cell>
          <cell r="H87" t="str">
            <v>28 Nov 2022</v>
          </cell>
          <cell r="I87" t="str">
            <v>05 Dec 2022</v>
          </cell>
          <cell r="J87">
            <v>45154</v>
          </cell>
          <cell r="K87">
            <v>45161</v>
          </cell>
          <cell r="L87">
            <v>44893</v>
          </cell>
          <cell r="M87">
            <v>44900</v>
          </cell>
          <cell r="N87">
            <v>45154</v>
          </cell>
          <cell r="O87">
            <v>45161</v>
          </cell>
        </row>
        <row r="88">
          <cell r="A88" t="str">
            <v>A1030.3.9</v>
          </cell>
          <cell r="C88" t="str">
            <v>ED3 Weighbridge System Package (Rev 1a) Review (1st Round)</v>
          </cell>
          <cell r="D88" t="str">
            <v>1</v>
          </cell>
          <cell r="F88" t="str">
            <v>100%</v>
          </cell>
          <cell r="G88" t="str">
            <v>100%</v>
          </cell>
          <cell r="H88" t="str">
            <v>06 Dec 2022</v>
          </cell>
          <cell r="I88" t="str">
            <v>12 Dec 2022</v>
          </cell>
          <cell r="J88">
            <v>45209</v>
          </cell>
          <cell r="K88">
            <v>45209</v>
          </cell>
          <cell r="L88">
            <v>44901</v>
          </cell>
          <cell r="M88">
            <v>44907</v>
          </cell>
          <cell r="N88">
            <v>45209</v>
          </cell>
          <cell r="O88">
            <v>45209</v>
          </cell>
        </row>
        <row r="89">
          <cell r="A89" t="str">
            <v>A1030.3.10</v>
          </cell>
          <cell r="C89" t="str">
            <v>ED3 Weighbridge System Package (Rev 1a) ALC Ammendment (1st Round)</v>
          </cell>
          <cell r="D89" t="str">
            <v>0</v>
          </cell>
          <cell r="F89" t="str">
            <v>100%</v>
          </cell>
          <cell r="G89" t="str">
            <v>100%</v>
          </cell>
          <cell r="H89" t="str">
            <v>13 Dec 2022</v>
          </cell>
          <cell r="I89" t="str">
            <v>16 Dec 2022</v>
          </cell>
          <cell r="J89">
            <v>45214</v>
          </cell>
          <cell r="K89">
            <v>45214</v>
          </cell>
          <cell r="L89">
            <v>44908</v>
          </cell>
          <cell r="M89">
            <v>44911</v>
          </cell>
          <cell r="N89">
            <v>45214</v>
          </cell>
          <cell r="O89">
            <v>45214</v>
          </cell>
        </row>
        <row r="90">
          <cell r="A90" t="str">
            <v>A1030.3.11</v>
          </cell>
          <cell r="C90" t="str">
            <v>ED3 Weighbridge System Package (Rev 1b) Review (2nd Round)</v>
          </cell>
          <cell r="D90" t="str">
            <v>1</v>
          </cell>
          <cell r="F90" t="str">
            <v>100%</v>
          </cell>
          <cell r="G90" t="str">
            <v>100%</v>
          </cell>
          <cell r="H90" t="str">
            <v>17 Dec 2022</v>
          </cell>
          <cell r="I90" t="str">
            <v>23 Dec 2022</v>
          </cell>
          <cell r="J90">
            <v>45215</v>
          </cell>
          <cell r="K90">
            <v>45215</v>
          </cell>
          <cell r="L90">
            <v>44912</v>
          </cell>
          <cell r="M90">
            <v>44918</v>
          </cell>
          <cell r="N90">
            <v>45215</v>
          </cell>
          <cell r="O90">
            <v>45215</v>
          </cell>
        </row>
        <row r="91">
          <cell r="A91" t="str">
            <v>A1030.3.12</v>
          </cell>
          <cell r="C91" t="str">
            <v>ED3 Weighbridge System Package (Rev 1b) ALC Ammendment (2nd Round)</v>
          </cell>
          <cell r="D91" t="str">
            <v>6</v>
          </cell>
          <cell r="F91" t="str">
            <v>100%</v>
          </cell>
          <cell r="G91" t="str">
            <v>100%</v>
          </cell>
          <cell r="H91" t="str">
            <v>24 Dec 2022</v>
          </cell>
          <cell r="I91" t="str">
            <v>29 Dec 2022</v>
          </cell>
          <cell r="J91">
            <v>45216</v>
          </cell>
          <cell r="K91">
            <v>45222</v>
          </cell>
          <cell r="L91">
            <v>44919</v>
          </cell>
          <cell r="M91">
            <v>44924</v>
          </cell>
          <cell r="N91">
            <v>45216</v>
          </cell>
          <cell r="O91">
            <v>45222</v>
          </cell>
        </row>
        <row r="92">
          <cell r="A92" t="str">
            <v>A1030.3.13</v>
          </cell>
          <cell r="C92" t="str">
            <v>ED3 Weighbridge System Package (Rev 1) Review by SO/ NEA</v>
          </cell>
          <cell r="D92" t="str">
            <v>18</v>
          </cell>
          <cell r="F92" t="str">
            <v>100%</v>
          </cell>
          <cell r="G92" t="str">
            <v>100%</v>
          </cell>
          <cell r="H92" t="str">
            <v>31 Dec 2022</v>
          </cell>
          <cell r="I92" t="str">
            <v>19 Jan 2023</v>
          </cell>
          <cell r="J92">
            <v>45223</v>
          </cell>
          <cell r="K92">
            <v>45244</v>
          </cell>
          <cell r="L92">
            <v>44926</v>
          </cell>
          <cell r="M92">
            <v>44945</v>
          </cell>
          <cell r="N92">
            <v>45223</v>
          </cell>
          <cell r="O92">
            <v>45244</v>
          </cell>
        </row>
        <row r="93">
          <cell r="A93" t="str">
            <v>A1030.3.13</v>
          </cell>
          <cell r="C93" t="str">
            <v>ED3 Weighbridge System Package (Review 2 and above monitored accepted with comments, No Re-submission Required)</v>
          </cell>
          <cell r="D93" t="str">
            <v>27</v>
          </cell>
          <cell r="F93" t="str">
            <v>100%</v>
          </cell>
          <cell r="G93" t="str">
            <v>100%</v>
          </cell>
          <cell r="H93" t="str">
            <v>21 Jun 2023</v>
          </cell>
          <cell r="I93" t="str">
            <v>22 Jul 2023</v>
          </cell>
          <cell r="J93">
            <v>45265</v>
          </cell>
          <cell r="K93">
            <v>45490</v>
          </cell>
          <cell r="L93">
            <v>45098</v>
          </cell>
          <cell r="M93">
            <v>45129</v>
          </cell>
          <cell r="N93">
            <v>45265</v>
          </cell>
          <cell r="O93">
            <v>45490</v>
          </cell>
        </row>
        <row r="94">
          <cell r="A94" t="str">
            <v>A1030.4</v>
          </cell>
          <cell r="C94" t="str">
            <v>AD3 Preparation, Submission, Review &amp; Acceptance</v>
          </cell>
          <cell r="D94" t="str">
            <v>864.56</v>
          </cell>
          <cell r="F94" t="str">
            <v>100%</v>
          </cell>
          <cell r="G94" t="str">
            <v>100%</v>
          </cell>
          <cell r="H94" t="str">
            <v>10 Feb 2022</v>
          </cell>
          <cell r="I94" t="str">
            <v>10 Jul 2023</v>
          </cell>
          <cell r="J94">
            <v>44601</v>
          </cell>
          <cell r="K94">
            <v>45637</v>
          </cell>
          <cell r="L94">
            <v>44602</v>
          </cell>
          <cell r="M94">
            <v>45117</v>
          </cell>
          <cell r="N94">
            <v>44601</v>
          </cell>
          <cell r="O94">
            <v>45637</v>
          </cell>
        </row>
        <row r="95">
          <cell r="A95" t="str">
            <v>A1030.4.1</v>
          </cell>
          <cell r="C95" t="str">
            <v>AD3 Weighbridge System Package (Rev 0a) Preparation by ALC</v>
          </cell>
          <cell r="D95" t="str">
            <v>124</v>
          </cell>
          <cell r="F95" t="str">
            <v>100%</v>
          </cell>
          <cell r="G95" t="str">
            <v>100%</v>
          </cell>
          <cell r="H95" t="str">
            <v>10 Feb 2022</v>
          </cell>
          <cell r="I95" t="str">
            <v>07 Jul 2022</v>
          </cell>
          <cell r="J95">
            <v>44601</v>
          </cell>
          <cell r="K95">
            <v>44748</v>
          </cell>
          <cell r="L95">
            <v>44602</v>
          </cell>
          <cell r="M95">
            <v>44749</v>
          </cell>
          <cell r="N95">
            <v>44601</v>
          </cell>
          <cell r="O95">
            <v>44748</v>
          </cell>
        </row>
        <row r="96">
          <cell r="A96" t="str">
            <v>A1030.4.2</v>
          </cell>
          <cell r="C96" t="str">
            <v>AD3 Weighbridge System Package (Rev 0a) Submission to KSPL</v>
          </cell>
          <cell r="D96" t="str">
            <v>18</v>
          </cell>
          <cell r="F96" t="str">
            <v>100%</v>
          </cell>
          <cell r="G96" t="str">
            <v>100%</v>
          </cell>
          <cell r="H96" t="str">
            <v>08 Jul 2022</v>
          </cell>
          <cell r="I96" t="str">
            <v>20 Jul 2022</v>
          </cell>
          <cell r="J96">
            <v>44749</v>
          </cell>
          <cell r="K96">
            <v>44770</v>
          </cell>
          <cell r="L96">
            <v>44750</v>
          </cell>
          <cell r="M96">
            <v>44762</v>
          </cell>
          <cell r="N96">
            <v>44749</v>
          </cell>
          <cell r="O96">
            <v>44770</v>
          </cell>
        </row>
        <row r="97">
          <cell r="A97" t="str">
            <v>A1030.4.3</v>
          </cell>
          <cell r="C97" t="str">
            <v>AD3 Weighbridge System Package (Rev 0a) Review (1st Round)</v>
          </cell>
          <cell r="D97" t="str">
            <v>2</v>
          </cell>
          <cell r="F97" t="str">
            <v>100%</v>
          </cell>
          <cell r="G97" t="str">
            <v>100%</v>
          </cell>
          <cell r="H97" t="str">
            <v>21 Jul 2022</v>
          </cell>
          <cell r="I97" t="str">
            <v>22 Jul 2022</v>
          </cell>
          <cell r="J97">
            <v>44889</v>
          </cell>
          <cell r="K97">
            <v>44890</v>
          </cell>
          <cell r="L97">
            <v>44763</v>
          </cell>
          <cell r="M97">
            <v>44764</v>
          </cell>
          <cell r="N97">
            <v>44889</v>
          </cell>
          <cell r="O97">
            <v>44890</v>
          </cell>
        </row>
        <row r="98">
          <cell r="A98" t="str">
            <v>A1030.4.4</v>
          </cell>
          <cell r="C98" t="str">
            <v>AD3 Weighbridge System Package (Rev 0a) ALC Ammendment (1st Round)</v>
          </cell>
          <cell r="D98" t="str">
            <v>18</v>
          </cell>
          <cell r="F98" t="str">
            <v>100%</v>
          </cell>
          <cell r="G98" t="str">
            <v>100%</v>
          </cell>
          <cell r="H98" t="str">
            <v>22 Jul 2022</v>
          </cell>
          <cell r="I98" t="str">
            <v>28 Jul 2022</v>
          </cell>
          <cell r="J98">
            <v>44749</v>
          </cell>
          <cell r="K98">
            <v>44770</v>
          </cell>
          <cell r="L98">
            <v>44764</v>
          </cell>
          <cell r="M98">
            <v>44770</v>
          </cell>
          <cell r="N98">
            <v>44749</v>
          </cell>
          <cell r="O98">
            <v>44770</v>
          </cell>
        </row>
        <row r="99">
          <cell r="A99" t="str">
            <v>A1030.4.5</v>
          </cell>
          <cell r="C99" t="str">
            <v>AD3 Weighbridge System Package (Rev 0b) Review (2nd Round)</v>
          </cell>
          <cell r="D99" t="str">
            <v>8</v>
          </cell>
          <cell r="F99" t="str">
            <v>100%</v>
          </cell>
          <cell r="G99" t="str">
            <v>100%</v>
          </cell>
          <cell r="H99" t="str">
            <v>29 Jul 2022</v>
          </cell>
          <cell r="I99" t="str">
            <v>05 Sep 2022</v>
          </cell>
          <cell r="J99">
            <v>44810</v>
          </cell>
          <cell r="K99">
            <v>44818</v>
          </cell>
          <cell r="L99">
            <v>44771</v>
          </cell>
          <cell r="M99">
            <v>44809</v>
          </cell>
          <cell r="N99">
            <v>44810</v>
          </cell>
          <cell r="O99">
            <v>44818</v>
          </cell>
        </row>
        <row r="100">
          <cell r="A100" t="str">
            <v>A1030.4.6</v>
          </cell>
          <cell r="C100" t="str">
            <v>AD3 Weighbridge System Package (Rev 0b) ALC Ammendment (2nd Round)</v>
          </cell>
          <cell r="D100" t="str">
            <v>2</v>
          </cell>
          <cell r="F100" t="str">
            <v>100%</v>
          </cell>
          <cell r="G100" t="str">
            <v>100%</v>
          </cell>
          <cell r="H100" t="str">
            <v>07 Sep 2022</v>
          </cell>
          <cell r="I100" t="str">
            <v>14 Sep 2022</v>
          </cell>
          <cell r="J100">
            <v>44818</v>
          </cell>
          <cell r="K100">
            <v>44820</v>
          </cell>
          <cell r="L100">
            <v>44811</v>
          </cell>
          <cell r="M100">
            <v>44818</v>
          </cell>
          <cell r="N100">
            <v>44818</v>
          </cell>
          <cell r="O100">
            <v>44820</v>
          </cell>
        </row>
        <row r="101">
          <cell r="A101" t="str">
            <v>A1030.4.7</v>
          </cell>
          <cell r="C101" t="str">
            <v>AD3 Weighbridge System Package (Rev 0) Review by SO/ NEA</v>
          </cell>
          <cell r="D101" t="str">
            <v>0</v>
          </cell>
          <cell r="F101" t="str">
            <v>100%</v>
          </cell>
          <cell r="G101" t="str">
            <v>100%</v>
          </cell>
          <cell r="H101" t="str">
            <v>14 Sep 2022</v>
          </cell>
          <cell r="I101" t="str">
            <v>27 Sep 2022</v>
          </cell>
          <cell r="J101">
            <v>44821</v>
          </cell>
          <cell r="K101">
            <v>44848</v>
          </cell>
          <cell r="L101">
            <v>44818</v>
          </cell>
          <cell r="M101">
            <v>44831</v>
          </cell>
          <cell r="N101">
            <v>44821</v>
          </cell>
          <cell r="O101">
            <v>44848</v>
          </cell>
        </row>
        <row r="102">
          <cell r="A102" t="str">
            <v>A1030.4.8</v>
          </cell>
          <cell r="C102" t="str">
            <v>AD3 Weighbridge System Package (Rev 1a) Ammendment by ALC on SO comments and Re-submission to KSPL</v>
          </cell>
          <cell r="D102" t="str">
            <v>37</v>
          </cell>
          <cell r="F102" t="str">
            <v>100%</v>
          </cell>
          <cell r="G102" t="str">
            <v>100%</v>
          </cell>
          <cell r="H102" t="str">
            <v>29 Sep 2022</v>
          </cell>
          <cell r="I102" t="str">
            <v>04 Oct 2022</v>
          </cell>
          <cell r="J102">
            <v>44851</v>
          </cell>
          <cell r="K102">
            <v>44894</v>
          </cell>
          <cell r="L102">
            <v>44833</v>
          </cell>
          <cell r="M102">
            <v>44838</v>
          </cell>
          <cell r="N102">
            <v>44851</v>
          </cell>
          <cell r="O102">
            <v>44894</v>
          </cell>
        </row>
        <row r="103">
          <cell r="A103" t="str">
            <v>A1030.4.9</v>
          </cell>
          <cell r="C103" t="str">
            <v>AD3 Weighbridge System Package (Rev 1a) Review (1st Round)</v>
          </cell>
          <cell r="D103" t="str">
            <v>20</v>
          </cell>
          <cell r="F103" t="str">
            <v>100%</v>
          </cell>
          <cell r="G103" t="str">
            <v>100%</v>
          </cell>
          <cell r="H103" t="str">
            <v>05 Oct 2022</v>
          </cell>
          <cell r="I103" t="str">
            <v>30 Nov 2022</v>
          </cell>
          <cell r="J103">
            <v>44895</v>
          </cell>
          <cell r="K103">
            <v>44917</v>
          </cell>
          <cell r="L103">
            <v>44839</v>
          </cell>
          <cell r="M103">
            <v>44895</v>
          </cell>
          <cell r="N103">
            <v>44895</v>
          </cell>
          <cell r="O103">
            <v>44917</v>
          </cell>
        </row>
        <row r="104">
          <cell r="A104" t="str">
            <v>A1030.4.10</v>
          </cell>
          <cell r="C104" t="str">
            <v>AD3 Weighbridge System Package (Rev 1a) ALC Ammendment (1st Round)</v>
          </cell>
          <cell r="D104" t="str">
            <v>25</v>
          </cell>
          <cell r="F104" t="str">
            <v>100%</v>
          </cell>
          <cell r="G104" t="str">
            <v>100%</v>
          </cell>
          <cell r="H104" t="str">
            <v>01 Dec 2022</v>
          </cell>
          <cell r="I104" t="str">
            <v>30 Dec 2022</v>
          </cell>
          <cell r="J104">
            <v>44918</v>
          </cell>
          <cell r="K104">
            <v>44951</v>
          </cell>
          <cell r="L104">
            <v>44896</v>
          </cell>
          <cell r="M104">
            <v>44925</v>
          </cell>
          <cell r="N104">
            <v>44918</v>
          </cell>
          <cell r="O104">
            <v>44951</v>
          </cell>
        </row>
        <row r="105">
          <cell r="A105" t="str">
            <v>A1030.4.11</v>
          </cell>
          <cell r="C105" t="str">
            <v>AD3 Weighbridge System Package (Rev 1b) Review (2nd Round)</v>
          </cell>
          <cell r="D105" t="str">
            <v>7</v>
          </cell>
          <cell r="F105" t="str">
            <v>100%</v>
          </cell>
          <cell r="G105" t="str">
            <v>100%</v>
          </cell>
          <cell r="H105" t="str">
            <v>31 Dec 2022</v>
          </cell>
          <cell r="I105" t="str">
            <v>09 Jan 2023</v>
          </cell>
          <cell r="J105">
            <v>44952</v>
          </cell>
          <cell r="K105">
            <v>44959</v>
          </cell>
          <cell r="L105">
            <v>44926</v>
          </cell>
          <cell r="M105">
            <v>44935</v>
          </cell>
          <cell r="N105">
            <v>44952</v>
          </cell>
          <cell r="O105">
            <v>44959</v>
          </cell>
        </row>
        <row r="106">
          <cell r="A106" t="str">
            <v>A1030.4.12</v>
          </cell>
          <cell r="C106" t="str">
            <v>AD3 Weighbridge System Package (Rev 1b) ALC Ammendment (2nd Round)</v>
          </cell>
          <cell r="D106" t="str">
            <v>4</v>
          </cell>
          <cell r="F106" t="str">
            <v>100%</v>
          </cell>
          <cell r="G106" t="str">
            <v>100%</v>
          </cell>
          <cell r="H106" t="str">
            <v>10 Jan 2023</v>
          </cell>
          <cell r="I106" t="str">
            <v>13 Jan 2023</v>
          </cell>
          <cell r="J106">
            <v>44960</v>
          </cell>
          <cell r="K106">
            <v>44964</v>
          </cell>
          <cell r="L106">
            <v>44936</v>
          </cell>
          <cell r="M106">
            <v>44939</v>
          </cell>
          <cell r="N106">
            <v>44960</v>
          </cell>
          <cell r="O106">
            <v>44964</v>
          </cell>
        </row>
        <row r="107">
          <cell r="A107" t="str">
            <v>A1030.4.13</v>
          </cell>
          <cell r="C107" t="str">
            <v>AD3 Weighbridge System Package (Rev 1) Review by SO/ NEA</v>
          </cell>
          <cell r="D107" t="str">
            <v>0</v>
          </cell>
          <cell r="F107" t="str">
            <v>100%</v>
          </cell>
          <cell r="G107" t="str">
            <v>100%</v>
          </cell>
          <cell r="H107" t="str">
            <v>14 Jan 2023</v>
          </cell>
          <cell r="I107" t="str">
            <v>04 Feb 2023</v>
          </cell>
          <cell r="J107">
            <v>44923</v>
          </cell>
          <cell r="K107">
            <v>44930</v>
          </cell>
          <cell r="L107">
            <v>44940</v>
          </cell>
          <cell r="M107">
            <v>44961</v>
          </cell>
          <cell r="N107">
            <v>44923</v>
          </cell>
          <cell r="O107">
            <v>44930</v>
          </cell>
        </row>
        <row r="108">
          <cell r="A108" t="str">
            <v>A1030.4.14</v>
          </cell>
          <cell r="C108" t="str">
            <v>AD3 Weighbridge System Package (Review 2 and above monitored accepted with comments, No Re-submission Required)</v>
          </cell>
          <cell r="D108" t="str">
            <v>16</v>
          </cell>
          <cell r="F108" t="str">
            <v>100%</v>
          </cell>
          <cell r="G108" t="str">
            <v>100%</v>
          </cell>
          <cell r="H108" t="str">
            <v>21 Jun 2023</v>
          </cell>
          <cell r="I108" t="str">
            <v>10 Jul 2023</v>
          </cell>
          <cell r="J108">
            <v>45063</v>
          </cell>
          <cell r="K108">
            <v>45637</v>
          </cell>
          <cell r="L108">
            <v>45098</v>
          </cell>
          <cell r="M108">
            <v>45117</v>
          </cell>
          <cell r="N108">
            <v>45063</v>
          </cell>
          <cell r="O108">
            <v>45637</v>
          </cell>
        </row>
        <row r="109">
          <cell r="A109" t="str">
            <v>A1085</v>
          </cell>
          <cell r="C109" t="str">
            <v>Traffic Modelling</v>
          </cell>
          <cell r="D109" t="str">
            <v>680</v>
          </cell>
          <cell r="F109" t="str">
            <v>100%</v>
          </cell>
          <cell r="G109" t="str">
            <v>100%</v>
          </cell>
          <cell r="H109" t="str">
            <v>07 Feb 2022</v>
          </cell>
          <cell r="I109" t="str">
            <v>13 Feb 2023</v>
          </cell>
          <cell r="J109">
            <v>44599</v>
          </cell>
          <cell r="K109">
            <v>45418</v>
          </cell>
          <cell r="L109">
            <v>44599</v>
          </cell>
          <cell r="M109">
            <v>44970</v>
          </cell>
          <cell r="N109">
            <v>44599</v>
          </cell>
          <cell r="O109">
            <v>45418</v>
          </cell>
        </row>
        <row r="110">
          <cell r="A110" t="str">
            <v>A1085.T.01</v>
          </cell>
          <cell r="C110" t="str">
            <v>Award Traffic Modelling Consultant</v>
          </cell>
          <cell r="D110" t="str">
            <v>1</v>
          </cell>
          <cell r="F110" t="str">
            <v>100%</v>
          </cell>
          <cell r="G110" t="str">
            <v>100%</v>
          </cell>
          <cell r="H110" t="str">
            <v>07 Feb 2022</v>
          </cell>
          <cell r="I110" t="str">
            <v>07 Feb 2022</v>
          </cell>
          <cell r="J110">
            <v>44599</v>
          </cell>
          <cell r="K110">
            <v>44599</v>
          </cell>
          <cell r="L110">
            <v>44599</v>
          </cell>
          <cell r="M110">
            <v>44599</v>
          </cell>
          <cell r="N110">
            <v>44599</v>
          </cell>
          <cell r="O110">
            <v>44599</v>
          </cell>
        </row>
        <row r="111">
          <cell r="A111" t="str">
            <v>A1085.T.02</v>
          </cell>
          <cell r="C111" t="str">
            <v>Kick-off Meeting</v>
          </cell>
          <cell r="D111" t="str">
            <v>1.56</v>
          </cell>
          <cell r="F111" t="str">
            <v>100%</v>
          </cell>
          <cell r="G111" t="str">
            <v>100%</v>
          </cell>
          <cell r="H111" t="str">
            <v>22 Feb 2022</v>
          </cell>
          <cell r="I111" t="str">
            <v>23 Feb 2022</v>
          </cell>
          <cell r="J111">
            <v>44614</v>
          </cell>
          <cell r="K111">
            <v>44615</v>
          </cell>
          <cell r="L111">
            <v>44614</v>
          </cell>
          <cell r="M111">
            <v>44615</v>
          </cell>
          <cell r="N111">
            <v>44614</v>
          </cell>
          <cell r="O111">
            <v>44615</v>
          </cell>
        </row>
        <row r="112">
          <cell r="A112" t="str">
            <v>A1085.T.03</v>
          </cell>
          <cell r="C112" t="str">
            <v>First round of model findings in slides [Rev 0a]</v>
          </cell>
          <cell r="D112" t="str">
            <v>28</v>
          </cell>
          <cell r="F112" t="str">
            <v>100%</v>
          </cell>
          <cell r="G112" t="str">
            <v>100%</v>
          </cell>
          <cell r="H112" t="str">
            <v>24 Feb 2022</v>
          </cell>
          <cell r="I112" t="str">
            <v>28 Mar 2022</v>
          </cell>
          <cell r="J112">
            <v>44616</v>
          </cell>
          <cell r="K112">
            <v>44648</v>
          </cell>
          <cell r="L112">
            <v>44616</v>
          </cell>
          <cell r="M112">
            <v>44648</v>
          </cell>
          <cell r="N112">
            <v>44616</v>
          </cell>
          <cell r="O112">
            <v>44648</v>
          </cell>
        </row>
        <row r="113">
          <cell r="A113" t="str">
            <v>A1085.T.04</v>
          </cell>
          <cell r="C113" t="str">
            <v>Comments on Rev 0a findings (allowing time for possible discussion and presentation)</v>
          </cell>
          <cell r="D113" t="str">
            <v>7</v>
          </cell>
          <cell r="F113" t="str">
            <v>100%</v>
          </cell>
          <cell r="G113" t="str">
            <v>100%</v>
          </cell>
          <cell r="H113" t="str">
            <v>29 Mar 2022</v>
          </cell>
          <cell r="I113" t="str">
            <v>05 Apr 2022</v>
          </cell>
          <cell r="J113">
            <v>44649</v>
          </cell>
          <cell r="K113">
            <v>44656</v>
          </cell>
          <cell r="L113">
            <v>44649</v>
          </cell>
          <cell r="M113">
            <v>44656</v>
          </cell>
          <cell r="N113">
            <v>44649</v>
          </cell>
          <cell r="O113">
            <v>44656</v>
          </cell>
        </row>
        <row r="114">
          <cell r="A114" t="str">
            <v>A1085.T.05</v>
          </cell>
          <cell r="C114" t="str">
            <v>Second round of model findings in slides [Rev 0b]</v>
          </cell>
          <cell r="D114" t="str">
            <v>2</v>
          </cell>
          <cell r="F114" t="str">
            <v>100%</v>
          </cell>
          <cell r="G114" t="str">
            <v>100%</v>
          </cell>
          <cell r="H114" t="str">
            <v>06 Apr 2022</v>
          </cell>
          <cell r="I114" t="str">
            <v>07 Apr 2022</v>
          </cell>
          <cell r="J114">
            <v>44657</v>
          </cell>
          <cell r="K114">
            <v>44658</v>
          </cell>
          <cell r="L114">
            <v>44657</v>
          </cell>
          <cell r="M114">
            <v>44658</v>
          </cell>
          <cell r="N114">
            <v>44657</v>
          </cell>
          <cell r="O114">
            <v>44658</v>
          </cell>
        </row>
        <row r="115">
          <cell r="A115" t="str">
            <v>A1085.T.06</v>
          </cell>
          <cell r="C115" t="str">
            <v>Submit to SO/ NEA [Rev 0]</v>
          </cell>
          <cell r="D115" t="str">
            <v>62</v>
          </cell>
          <cell r="F115" t="str">
            <v>100%</v>
          </cell>
          <cell r="G115" t="str">
            <v>100%</v>
          </cell>
          <cell r="H115" t="str">
            <v>08 Apr 2022</v>
          </cell>
          <cell r="I115" t="str">
            <v>22 Jun 2022</v>
          </cell>
          <cell r="J115">
            <v>44659</v>
          </cell>
          <cell r="K115">
            <v>44734</v>
          </cell>
          <cell r="L115">
            <v>44659</v>
          </cell>
          <cell r="M115">
            <v>44734</v>
          </cell>
          <cell r="N115">
            <v>44659</v>
          </cell>
          <cell r="O115">
            <v>44734</v>
          </cell>
        </row>
        <row r="116">
          <cell r="A116" t="str">
            <v>A1085.T.07</v>
          </cell>
          <cell r="C116" t="str">
            <v>Third round of model findings in slides [Rev 1a]</v>
          </cell>
          <cell r="D116" t="str">
            <v>133.11</v>
          </cell>
          <cell r="F116" t="str">
            <v>100%</v>
          </cell>
          <cell r="G116" t="str">
            <v>100%</v>
          </cell>
          <cell r="H116" t="str">
            <v>23 Jun 2022</v>
          </cell>
          <cell r="I116" t="str">
            <v>29 Nov 2022</v>
          </cell>
          <cell r="J116">
            <v>44735</v>
          </cell>
          <cell r="K116">
            <v>45343</v>
          </cell>
          <cell r="L116">
            <v>44735</v>
          </cell>
          <cell r="M116">
            <v>44894</v>
          </cell>
          <cell r="N116">
            <v>44735</v>
          </cell>
          <cell r="O116">
            <v>45343</v>
          </cell>
        </row>
        <row r="117">
          <cell r="A117" t="str">
            <v>A1085.T.08</v>
          </cell>
          <cell r="C117" t="str">
            <v>Comments on Rev 1a findings (allowing time for possible discussion and presentation)</v>
          </cell>
          <cell r="D117" t="str">
            <v>3</v>
          </cell>
          <cell r="F117" t="str">
            <v>100%</v>
          </cell>
          <cell r="G117" t="str">
            <v>100%</v>
          </cell>
          <cell r="H117" t="str">
            <v>30 Sep 2022</v>
          </cell>
          <cell r="I117" t="str">
            <v>03 Oct 2022</v>
          </cell>
          <cell r="J117">
            <v>44834</v>
          </cell>
          <cell r="K117">
            <v>44837</v>
          </cell>
          <cell r="L117">
            <v>44834</v>
          </cell>
          <cell r="M117">
            <v>44837</v>
          </cell>
          <cell r="N117">
            <v>44834</v>
          </cell>
          <cell r="O117">
            <v>44837</v>
          </cell>
        </row>
        <row r="118">
          <cell r="A118" t="str">
            <v>A1085.T.09</v>
          </cell>
          <cell r="C118" t="str">
            <v>Fourth round of model findings in slides [Rev 1b]</v>
          </cell>
          <cell r="D118" t="str">
            <v>7.11</v>
          </cell>
          <cell r="F118" t="str">
            <v>100%</v>
          </cell>
          <cell r="G118" t="str">
            <v>100%</v>
          </cell>
          <cell r="H118" t="str">
            <v>04 Oct 2022</v>
          </cell>
          <cell r="I118" t="str">
            <v>12 Oct 2022</v>
          </cell>
          <cell r="J118">
            <v>44838</v>
          </cell>
          <cell r="K118">
            <v>44846</v>
          </cell>
          <cell r="L118">
            <v>44838</v>
          </cell>
          <cell r="M118">
            <v>44846</v>
          </cell>
          <cell r="N118">
            <v>44838</v>
          </cell>
          <cell r="O118">
            <v>44846</v>
          </cell>
        </row>
        <row r="119">
          <cell r="A119" t="str">
            <v>A1085.T.10</v>
          </cell>
          <cell r="C119" t="str">
            <v>Submit to SO/ NEA [Rev 1]</v>
          </cell>
          <cell r="D119" t="str">
            <v>34.11</v>
          </cell>
          <cell r="F119" t="str">
            <v>100%</v>
          </cell>
          <cell r="G119" t="str">
            <v>100%</v>
          </cell>
          <cell r="H119" t="str">
            <v>13 Oct 2022</v>
          </cell>
          <cell r="I119" t="str">
            <v>05 Dec 2022</v>
          </cell>
          <cell r="J119">
            <v>44847</v>
          </cell>
          <cell r="K119">
            <v>44943</v>
          </cell>
          <cell r="L119">
            <v>44847</v>
          </cell>
          <cell r="M119">
            <v>44900</v>
          </cell>
          <cell r="N119">
            <v>44847</v>
          </cell>
          <cell r="O119">
            <v>44943</v>
          </cell>
        </row>
        <row r="120">
          <cell r="A120" t="str">
            <v>A1085.T.11</v>
          </cell>
          <cell r="C120" t="str">
            <v>Fifth round of model findings in slides [Rev 2a]</v>
          </cell>
          <cell r="D120" t="str">
            <v>1</v>
          </cell>
          <cell r="F120" t="str">
            <v>100%</v>
          </cell>
          <cell r="G120" t="str">
            <v>100%</v>
          </cell>
          <cell r="H120" t="str">
            <v>06 Dec 2022</v>
          </cell>
          <cell r="I120" t="str">
            <v>13 Dec 2022</v>
          </cell>
          <cell r="J120">
            <v>44944</v>
          </cell>
          <cell r="K120">
            <v>44944</v>
          </cell>
          <cell r="L120">
            <v>44901</v>
          </cell>
          <cell r="M120">
            <v>44908</v>
          </cell>
          <cell r="N120">
            <v>44944</v>
          </cell>
          <cell r="O120">
            <v>44944</v>
          </cell>
        </row>
        <row r="121">
          <cell r="A121" t="str">
            <v>A1085.T.12</v>
          </cell>
          <cell r="C121" t="str">
            <v>Comments on Rev 2a findings (allowing time for possible discussion and presentation)</v>
          </cell>
          <cell r="D121" t="str">
            <v>0</v>
          </cell>
          <cell r="F121" t="str">
            <v>100%</v>
          </cell>
          <cell r="G121" t="str">
            <v>100%</v>
          </cell>
          <cell r="H121" t="str">
            <v>14 Dec 2022</v>
          </cell>
          <cell r="I121" t="str">
            <v>23 Dec 2022</v>
          </cell>
          <cell r="J121">
            <v>44944</v>
          </cell>
          <cell r="K121">
            <v>44944</v>
          </cell>
          <cell r="L121">
            <v>44909</v>
          </cell>
          <cell r="M121">
            <v>44918</v>
          </cell>
          <cell r="N121">
            <v>44944</v>
          </cell>
          <cell r="O121">
            <v>44944</v>
          </cell>
        </row>
        <row r="122">
          <cell r="A122" t="str">
            <v>A1085.T.13</v>
          </cell>
          <cell r="C122" t="str">
            <v>Sixth round of model findings in slides [Rev 2b]</v>
          </cell>
          <cell r="D122" t="str">
            <v>0</v>
          </cell>
          <cell r="F122" t="str">
            <v>100%</v>
          </cell>
          <cell r="G122" t="str">
            <v>100%</v>
          </cell>
          <cell r="H122" t="str">
            <v>24 Dec 2022</v>
          </cell>
          <cell r="I122" t="str">
            <v>03 Jan 2023</v>
          </cell>
          <cell r="J122">
            <v>44944</v>
          </cell>
          <cell r="K122">
            <v>44944</v>
          </cell>
          <cell r="L122">
            <v>44919</v>
          </cell>
          <cell r="M122">
            <v>44929</v>
          </cell>
          <cell r="N122">
            <v>44944</v>
          </cell>
          <cell r="O122">
            <v>44944</v>
          </cell>
        </row>
        <row r="123">
          <cell r="A123" t="str">
            <v>A1085.T.14</v>
          </cell>
          <cell r="C123" t="str">
            <v>Submit to SO/ NEA [Rev 2]</v>
          </cell>
          <cell r="D123" t="str">
            <v>0</v>
          </cell>
          <cell r="F123" t="str">
            <v>100%</v>
          </cell>
          <cell r="G123" t="str">
            <v>100%</v>
          </cell>
          <cell r="H123" t="str">
            <v>04 Jan 2023</v>
          </cell>
          <cell r="I123" t="str">
            <v>14 Jan 2023</v>
          </cell>
          <cell r="J123">
            <v>44945</v>
          </cell>
          <cell r="K123">
            <v>45009</v>
          </cell>
          <cell r="L123">
            <v>44930</v>
          </cell>
          <cell r="M123">
            <v>44940</v>
          </cell>
          <cell r="N123">
            <v>44945</v>
          </cell>
          <cell r="O123">
            <v>45009</v>
          </cell>
        </row>
        <row r="124">
          <cell r="A124" t="str">
            <v>A1085.T.15</v>
          </cell>
          <cell r="C124" t="str">
            <v>Final Model findings report</v>
          </cell>
          <cell r="D124" t="str">
            <v>11</v>
          </cell>
          <cell r="F124" t="str">
            <v>100%</v>
          </cell>
          <cell r="G124" t="str">
            <v>100%</v>
          </cell>
          <cell r="H124" t="str">
            <v>16 Jan 2023</v>
          </cell>
          <cell r="I124" t="str">
            <v>21 Jan 2023</v>
          </cell>
          <cell r="J124">
            <v>45036</v>
          </cell>
          <cell r="K124">
            <v>45050</v>
          </cell>
          <cell r="L124">
            <v>44942</v>
          </cell>
          <cell r="M124">
            <v>44947</v>
          </cell>
          <cell r="N124">
            <v>45036</v>
          </cell>
          <cell r="O124">
            <v>45050</v>
          </cell>
        </row>
        <row r="125">
          <cell r="A125" t="str">
            <v>A1085.T.16</v>
          </cell>
          <cell r="C125" t="str">
            <v>Final presentation / confirmation on findings</v>
          </cell>
          <cell r="D125" t="str">
            <v>149</v>
          </cell>
          <cell r="F125" t="str">
            <v>100%</v>
          </cell>
          <cell r="G125" t="str">
            <v>100%</v>
          </cell>
          <cell r="H125" t="str">
            <v>25 Jan 2023</v>
          </cell>
          <cell r="I125" t="str">
            <v>03 Feb 2023</v>
          </cell>
          <cell r="J125">
            <v>45051</v>
          </cell>
          <cell r="K125">
            <v>45226</v>
          </cell>
          <cell r="L125">
            <v>44951</v>
          </cell>
          <cell r="M125">
            <v>44960</v>
          </cell>
          <cell r="N125">
            <v>45051</v>
          </cell>
          <cell r="O125">
            <v>45226</v>
          </cell>
        </row>
        <row r="126">
          <cell r="A126" t="str">
            <v>A1085.T.17</v>
          </cell>
          <cell r="C126" t="str">
            <v>Comments on final report</v>
          </cell>
          <cell r="D126" t="str">
            <v>49</v>
          </cell>
          <cell r="F126" t="str">
            <v>100%</v>
          </cell>
          <cell r="G126" t="str">
            <v>100%</v>
          </cell>
          <cell r="H126" t="str">
            <v>06 Feb 2023</v>
          </cell>
          <cell r="I126" t="str">
            <v>08 Feb 2023</v>
          </cell>
          <cell r="J126">
            <v>45231</v>
          </cell>
          <cell r="K126">
            <v>45289</v>
          </cell>
          <cell r="L126">
            <v>44963</v>
          </cell>
          <cell r="M126">
            <v>44965</v>
          </cell>
          <cell r="N126">
            <v>45231</v>
          </cell>
          <cell r="O126">
            <v>45289</v>
          </cell>
        </row>
        <row r="127">
          <cell r="A127" t="str">
            <v>A1085.T.18</v>
          </cell>
          <cell r="C127" t="str">
            <v>Submit &amp; Confirmation of final report by SO/NEA</v>
          </cell>
          <cell r="D127" t="str">
            <v>4</v>
          </cell>
          <cell r="F127" t="str">
            <v>100%</v>
          </cell>
          <cell r="G127" t="str">
            <v>100%</v>
          </cell>
          <cell r="H127" t="str">
            <v>09 Feb 2023</v>
          </cell>
          <cell r="I127" t="str">
            <v>13 Feb 2023</v>
          </cell>
          <cell r="J127">
            <v>45325</v>
          </cell>
          <cell r="K127">
            <v>45418</v>
          </cell>
          <cell r="L127">
            <v>44966</v>
          </cell>
          <cell r="M127">
            <v>44970</v>
          </cell>
          <cell r="N127">
            <v>45325</v>
          </cell>
          <cell r="O127">
            <v>45418</v>
          </cell>
        </row>
        <row r="128">
          <cell r="A128" t="str">
            <v>A1050</v>
          </cell>
          <cell r="C128" t="str">
            <v>Procurement</v>
          </cell>
          <cell r="D128" t="str">
            <v>1142</v>
          </cell>
          <cell r="F128" t="str">
            <v>93%</v>
          </cell>
          <cell r="G128" t="str">
            <v>100%</v>
          </cell>
          <cell r="H128" t="str">
            <v>05 Jul 2021</v>
          </cell>
          <cell r="I128" t="str">
            <v>10 Jun 2023</v>
          </cell>
          <cell r="J128">
            <v>44382</v>
          </cell>
          <cell r="K128">
            <v>45748</v>
          </cell>
          <cell r="L128">
            <v>44382</v>
          </cell>
          <cell r="M128">
            <v>45087</v>
          </cell>
          <cell r="N128">
            <v>44382</v>
          </cell>
          <cell r="O128" t="str">
            <v>NA</v>
          </cell>
        </row>
        <row r="129">
          <cell r="A129" t="str">
            <v>A1050.P.01</v>
          </cell>
          <cell r="C129" t="str">
            <v>Weighbridges</v>
          </cell>
          <cell r="D129" t="str">
            <v>108</v>
          </cell>
          <cell r="F129" t="str">
            <v>100%</v>
          </cell>
          <cell r="G129" t="str">
            <v>100%</v>
          </cell>
          <cell r="H129" t="str">
            <v>26 Aug 2022</v>
          </cell>
          <cell r="I129" t="str">
            <v>15 Mar 2023</v>
          </cell>
          <cell r="J129">
            <v>44799</v>
          </cell>
          <cell r="K129">
            <v>44928</v>
          </cell>
          <cell r="L129">
            <v>44799</v>
          </cell>
          <cell r="M129">
            <v>45000</v>
          </cell>
          <cell r="N129">
            <v>44799</v>
          </cell>
          <cell r="O129">
            <v>44928</v>
          </cell>
        </row>
        <row r="130">
          <cell r="A130" t="str">
            <v>A1050.P.02</v>
          </cell>
          <cell r="C130" t="str">
            <v>Furniture</v>
          </cell>
          <cell r="D130" t="str">
            <v>52</v>
          </cell>
          <cell r="F130" t="str">
            <v>95%</v>
          </cell>
          <cell r="G130" t="str">
            <v>100%</v>
          </cell>
          <cell r="H130" t="str">
            <v>14 Feb 2023</v>
          </cell>
          <cell r="I130" t="str">
            <v>15 Apr 2023</v>
          </cell>
          <cell r="J130">
            <v>45058</v>
          </cell>
          <cell r="K130">
            <v>45720</v>
          </cell>
          <cell r="L130">
            <v>44971</v>
          </cell>
          <cell r="M130">
            <v>45031</v>
          </cell>
          <cell r="N130">
            <v>45058</v>
          </cell>
          <cell r="O130" t="str">
            <v>NA</v>
          </cell>
        </row>
        <row r="131">
          <cell r="A131" t="str">
            <v>A1050.P.03</v>
          </cell>
          <cell r="C131" t="str">
            <v>UPS &amp; 19" Racks</v>
          </cell>
          <cell r="D131" t="str">
            <v>0</v>
          </cell>
          <cell r="F131" t="str">
            <v>100%</v>
          </cell>
          <cell r="G131" t="str">
            <v>100%</v>
          </cell>
          <cell r="H131" t="str">
            <v>18 Oct 2022</v>
          </cell>
          <cell r="I131" t="str">
            <v>16 Mar 2023</v>
          </cell>
          <cell r="J131">
            <v>44852</v>
          </cell>
          <cell r="K131">
            <v>45064</v>
          </cell>
          <cell r="L131">
            <v>44852</v>
          </cell>
          <cell r="M131">
            <v>45001</v>
          </cell>
          <cell r="N131">
            <v>44852</v>
          </cell>
          <cell r="O131">
            <v>45064</v>
          </cell>
        </row>
        <row r="132">
          <cell r="A132" t="str">
            <v>A1050.P.04</v>
          </cell>
          <cell r="C132" t="str">
            <v>Public Announcement System</v>
          </cell>
          <cell r="D132" t="str">
            <v>27</v>
          </cell>
          <cell r="F132" t="str">
            <v>85%</v>
          </cell>
          <cell r="G132" t="str">
            <v>100%</v>
          </cell>
          <cell r="H132" t="str">
            <v>05 Jul 2021</v>
          </cell>
          <cell r="I132" t="str">
            <v>16 Mar 2023</v>
          </cell>
          <cell r="J132">
            <v>44382</v>
          </cell>
          <cell r="K132">
            <v>45722</v>
          </cell>
          <cell r="L132">
            <v>44382</v>
          </cell>
          <cell r="M132">
            <v>45001</v>
          </cell>
          <cell r="N132">
            <v>44382</v>
          </cell>
          <cell r="O132" t="str">
            <v>NA</v>
          </cell>
        </row>
        <row r="133">
          <cell r="A133" t="str">
            <v>A1050.P.05</v>
          </cell>
          <cell r="C133" t="str">
            <v>Electrical &amp; Structured Cabling Services(By Others)</v>
          </cell>
          <cell r="D133" t="str">
            <v>27</v>
          </cell>
          <cell r="F133" t="str">
            <v>0%</v>
          </cell>
          <cell r="G133" t="str">
            <v>100%</v>
          </cell>
          <cell r="H133" t="str">
            <v>14 Feb 2023</v>
          </cell>
          <cell r="I133" t="str">
            <v>16 Mar 2023</v>
          </cell>
          <cell r="J133">
            <v>45717</v>
          </cell>
          <cell r="K133">
            <v>45748</v>
          </cell>
          <cell r="L133">
            <v>44971</v>
          </cell>
          <cell r="M133">
            <v>45001</v>
          </cell>
          <cell r="N133" t="str">
            <v>NA</v>
          </cell>
          <cell r="O133" t="str">
            <v>NA</v>
          </cell>
        </row>
        <row r="134">
          <cell r="A134" t="str">
            <v>A1050.P.06</v>
          </cell>
          <cell r="C134" t="str">
            <v>Data Processing Equipment</v>
          </cell>
          <cell r="D134" t="str">
            <v>27</v>
          </cell>
          <cell r="F134" t="str">
            <v>100%</v>
          </cell>
          <cell r="G134" t="str">
            <v>100%</v>
          </cell>
          <cell r="H134" t="str">
            <v>25 May 2022</v>
          </cell>
          <cell r="I134" t="str">
            <v>16 Mar 2023</v>
          </cell>
          <cell r="J134">
            <v>44706</v>
          </cell>
          <cell r="K134">
            <v>45659</v>
          </cell>
          <cell r="L134">
            <v>44706</v>
          </cell>
          <cell r="M134">
            <v>45001</v>
          </cell>
          <cell r="N134">
            <v>44706</v>
          </cell>
          <cell r="O134">
            <v>45659</v>
          </cell>
        </row>
        <row r="135">
          <cell r="A135" t="str">
            <v>A1050.P.07</v>
          </cell>
          <cell r="C135" t="str">
            <v>Data Communication Equipment</v>
          </cell>
          <cell r="D135" t="str">
            <v>27</v>
          </cell>
          <cell r="F135" t="str">
            <v>95%</v>
          </cell>
          <cell r="G135" t="str">
            <v>100%</v>
          </cell>
          <cell r="H135" t="str">
            <v>25 May 2022</v>
          </cell>
          <cell r="I135" t="str">
            <v>16 Mar 2023</v>
          </cell>
          <cell r="J135">
            <v>44706</v>
          </cell>
          <cell r="K135">
            <v>45719</v>
          </cell>
          <cell r="L135">
            <v>44706</v>
          </cell>
          <cell r="M135">
            <v>45001</v>
          </cell>
          <cell r="N135">
            <v>44706</v>
          </cell>
          <cell r="O135" t="str">
            <v>NA</v>
          </cell>
        </row>
        <row r="136">
          <cell r="A136" t="str">
            <v>A1050.P.08</v>
          </cell>
          <cell r="C136" t="str">
            <v>Station Integrated with Interfacing Controller for Receipt, Intercom, RFID, Biometrics, Traffic Lights, Vehicle Barrier</v>
          </cell>
          <cell r="D136" t="str">
            <v>27</v>
          </cell>
          <cell r="F136" t="str">
            <v>95%</v>
          </cell>
          <cell r="G136" t="str">
            <v>100%</v>
          </cell>
          <cell r="H136" t="str">
            <v>25 May 2022</v>
          </cell>
          <cell r="I136" t="str">
            <v>16 Mar 2023</v>
          </cell>
          <cell r="J136">
            <v>44706</v>
          </cell>
          <cell r="K136">
            <v>45719</v>
          </cell>
          <cell r="L136">
            <v>44706</v>
          </cell>
          <cell r="M136">
            <v>45001</v>
          </cell>
          <cell r="N136">
            <v>44706</v>
          </cell>
          <cell r="O136" t="str">
            <v>NA</v>
          </cell>
        </row>
        <row r="137">
          <cell r="A137" t="str">
            <v>A1050.P.09</v>
          </cell>
          <cell r="C137" t="str">
            <v>Video Recording System, LPR Hardware and Accessories</v>
          </cell>
          <cell r="D137" t="str">
            <v>36</v>
          </cell>
          <cell r="F137" t="str">
            <v>95%</v>
          </cell>
          <cell r="G137" t="str">
            <v>100%</v>
          </cell>
          <cell r="H137" t="str">
            <v>25 May 2022</v>
          </cell>
          <cell r="I137" t="str">
            <v>27 Mar 2023</v>
          </cell>
          <cell r="J137">
            <v>44706</v>
          </cell>
          <cell r="K137">
            <v>45719</v>
          </cell>
          <cell r="L137">
            <v>44706</v>
          </cell>
          <cell r="M137">
            <v>45012</v>
          </cell>
          <cell r="N137">
            <v>44706</v>
          </cell>
          <cell r="O137" t="str">
            <v>NA</v>
          </cell>
        </row>
        <row r="138">
          <cell r="A138" t="str">
            <v>A1050.P.10</v>
          </cell>
          <cell r="C138" t="str">
            <v>Zonal Detection System</v>
          </cell>
          <cell r="D138" t="str">
            <v>51</v>
          </cell>
          <cell r="F138" t="str">
            <v>90%</v>
          </cell>
          <cell r="G138" t="str">
            <v>100%</v>
          </cell>
          <cell r="H138" t="str">
            <v>25 May 2022</v>
          </cell>
          <cell r="I138" t="str">
            <v>14 Apr 2023</v>
          </cell>
          <cell r="J138">
            <v>44706</v>
          </cell>
          <cell r="K138">
            <v>45723</v>
          </cell>
          <cell r="L138">
            <v>44706</v>
          </cell>
          <cell r="M138">
            <v>45030</v>
          </cell>
          <cell r="N138">
            <v>44706</v>
          </cell>
          <cell r="O138" t="str">
            <v>NA</v>
          </cell>
        </row>
        <row r="139">
          <cell r="A139" t="str">
            <v>A1050.P.11</v>
          </cell>
          <cell r="C139" t="str">
            <v>Radioactive Devices</v>
          </cell>
          <cell r="D139" t="str">
            <v>52</v>
          </cell>
          <cell r="F139" t="str">
            <v>100%</v>
          </cell>
          <cell r="G139" t="str">
            <v>100%</v>
          </cell>
          <cell r="H139" t="str">
            <v>29 Aug 2022</v>
          </cell>
          <cell r="I139" t="str">
            <v>15 Apr 2023</v>
          </cell>
          <cell r="J139">
            <v>44802</v>
          </cell>
          <cell r="K139">
            <v>45362</v>
          </cell>
          <cell r="L139">
            <v>44802</v>
          </cell>
          <cell r="M139">
            <v>45031</v>
          </cell>
          <cell r="N139">
            <v>44802</v>
          </cell>
          <cell r="O139">
            <v>45362</v>
          </cell>
        </row>
        <row r="140">
          <cell r="A140" t="str">
            <v>A1050.P.12</v>
          </cell>
          <cell r="C140" t="str">
            <v>Heat Detection Devices</v>
          </cell>
          <cell r="D140" t="str">
            <v>90</v>
          </cell>
          <cell r="F140" t="str">
            <v>100%</v>
          </cell>
          <cell r="G140" t="str">
            <v>100%</v>
          </cell>
          <cell r="H140" t="str">
            <v>09 Aug 2022</v>
          </cell>
          <cell r="I140" t="str">
            <v>10 Mar 2023</v>
          </cell>
          <cell r="J140">
            <v>44782</v>
          </cell>
          <cell r="K140">
            <v>44914</v>
          </cell>
          <cell r="L140">
            <v>44782</v>
          </cell>
          <cell r="M140">
            <v>44995</v>
          </cell>
          <cell r="N140">
            <v>44782</v>
          </cell>
          <cell r="O140">
            <v>44914</v>
          </cell>
        </row>
        <row r="141">
          <cell r="A141" t="str">
            <v>A1050.P.13</v>
          </cell>
          <cell r="C141" t="str">
            <v>Ash Truck Positioning and Empty/Full Detection Devices</v>
          </cell>
          <cell r="D141" t="str">
            <v>52</v>
          </cell>
          <cell r="F141" t="str">
            <v>90%</v>
          </cell>
          <cell r="G141" t="str">
            <v>100%</v>
          </cell>
          <cell r="H141" t="str">
            <v>25 May 2022</v>
          </cell>
          <cell r="I141" t="str">
            <v>15 Apr 2023</v>
          </cell>
          <cell r="J141">
            <v>44706</v>
          </cell>
          <cell r="K141">
            <v>45723</v>
          </cell>
          <cell r="L141">
            <v>44706</v>
          </cell>
          <cell r="M141">
            <v>45031</v>
          </cell>
          <cell r="N141">
            <v>44706</v>
          </cell>
          <cell r="O141" t="str">
            <v>NA</v>
          </cell>
        </row>
        <row r="142">
          <cell r="A142" t="str">
            <v>A1050.P.14</v>
          </cell>
          <cell r="C142" t="str">
            <v>Purchase and Delivery of Casted Items(Others) -Batch 1</v>
          </cell>
          <cell r="D142" t="str">
            <v>70</v>
          </cell>
          <cell r="F142" t="str">
            <v>100%</v>
          </cell>
          <cell r="G142" t="str">
            <v>100%</v>
          </cell>
          <cell r="H142" t="str">
            <v>09 Jun 2023</v>
          </cell>
          <cell r="I142" t="str">
            <v>10 Jun 2023</v>
          </cell>
          <cell r="J142">
            <v>44963</v>
          </cell>
          <cell r="K142">
            <v>45047</v>
          </cell>
          <cell r="L142">
            <v>45086</v>
          </cell>
          <cell r="M142">
            <v>45087</v>
          </cell>
          <cell r="N142">
            <v>44963</v>
          </cell>
          <cell r="O142">
            <v>45047</v>
          </cell>
        </row>
        <row r="143">
          <cell r="A143" t="str">
            <v>A1050.P.15</v>
          </cell>
          <cell r="C143" t="str">
            <v>Purchase and Delivery of Casted Items(Others) - Batch 2</v>
          </cell>
          <cell r="D143" t="str">
            <v>77</v>
          </cell>
          <cell r="F143" t="str">
            <v>100%</v>
          </cell>
          <cell r="G143" t="str">
            <v>100%</v>
          </cell>
          <cell r="H143" t="str">
            <v>10 Jun 2023</v>
          </cell>
          <cell r="I143" t="str">
            <v>10 Jun 2023</v>
          </cell>
          <cell r="J143">
            <v>45103</v>
          </cell>
          <cell r="K143">
            <v>45194</v>
          </cell>
          <cell r="L143">
            <v>45087</v>
          </cell>
          <cell r="M143">
            <v>45087</v>
          </cell>
          <cell r="N143">
            <v>45103</v>
          </cell>
          <cell r="O143">
            <v>45194</v>
          </cell>
        </row>
        <row r="144">
          <cell r="C144" t="str">
            <v>Manufacture / Fabrication / Delivery</v>
          </cell>
          <cell r="D144" t="str">
            <v>767</v>
          </cell>
          <cell r="F144" t="str">
            <v>39%</v>
          </cell>
          <cell r="G144" t="str">
            <v>100%</v>
          </cell>
          <cell r="H144" t="str">
            <v>11 Mar 2023</v>
          </cell>
          <cell r="I144" t="str">
            <v>02 Jan 2024</v>
          </cell>
          <cell r="J144">
            <v>45065</v>
          </cell>
          <cell r="K144">
            <v>45972</v>
          </cell>
          <cell r="L144">
            <v>44996</v>
          </cell>
          <cell r="M144">
            <v>45293</v>
          </cell>
          <cell r="N144">
            <v>45065</v>
          </cell>
          <cell r="O144" t="str">
            <v>NA</v>
          </cell>
        </row>
        <row r="145">
          <cell r="A145" t="str">
            <v>A1060</v>
          </cell>
          <cell r="C145" t="str">
            <v>Manufacture Commence Data (Commence Date should be notified by KSPL)</v>
          </cell>
          <cell r="D145" t="str">
            <v>655</v>
          </cell>
          <cell r="F145" t="str">
            <v>55%</v>
          </cell>
          <cell r="G145" t="str">
            <v>100%</v>
          </cell>
          <cell r="H145" t="str">
            <v>11 Mar 2023</v>
          </cell>
          <cell r="I145" t="str">
            <v>25 Aug 2023</v>
          </cell>
          <cell r="J145">
            <v>45065</v>
          </cell>
          <cell r="K145">
            <v>45841</v>
          </cell>
          <cell r="L145">
            <v>44996</v>
          </cell>
          <cell r="M145">
            <v>45163</v>
          </cell>
          <cell r="N145">
            <v>45065</v>
          </cell>
          <cell r="O145" t="str">
            <v>NA</v>
          </cell>
        </row>
        <row r="146">
          <cell r="A146" t="str">
            <v>A1060.M.01</v>
          </cell>
          <cell r="C146" t="str">
            <v>Weighbridges</v>
          </cell>
          <cell r="D146" t="str">
            <v>54</v>
          </cell>
          <cell r="F146" t="str">
            <v>100%</v>
          </cell>
          <cell r="G146" t="str">
            <v>100%</v>
          </cell>
          <cell r="H146" t="str">
            <v>16 Mar 2023</v>
          </cell>
          <cell r="I146" t="str">
            <v>20 May 2023</v>
          </cell>
          <cell r="J146">
            <v>45245</v>
          </cell>
          <cell r="K146">
            <v>45567</v>
          </cell>
          <cell r="L146">
            <v>45001</v>
          </cell>
          <cell r="M146">
            <v>45066</v>
          </cell>
          <cell r="N146">
            <v>45245</v>
          </cell>
          <cell r="O146">
            <v>45567</v>
          </cell>
        </row>
        <row r="147">
          <cell r="A147" t="str">
            <v>A1060.M.02</v>
          </cell>
          <cell r="C147" t="str">
            <v>Furniture</v>
          </cell>
          <cell r="D147" t="str">
            <v>27</v>
          </cell>
          <cell r="F147" t="str">
            <v>0%</v>
          </cell>
          <cell r="G147" t="str">
            <v>100%</v>
          </cell>
          <cell r="H147" t="str">
            <v>17 Apr 2023</v>
          </cell>
          <cell r="I147" t="str">
            <v>19 May 2023</v>
          </cell>
          <cell r="J147">
            <v>45720</v>
          </cell>
          <cell r="K147">
            <v>45751</v>
          </cell>
          <cell r="L147">
            <v>45033</v>
          </cell>
          <cell r="M147">
            <v>45065</v>
          </cell>
          <cell r="N147" t="str">
            <v>NA</v>
          </cell>
          <cell r="O147" t="str">
            <v>NA</v>
          </cell>
        </row>
        <row r="148">
          <cell r="A148" t="str">
            <v>A1060.M.03</v>
          </cell>
          <cell r="C148" t="str">
            <v>UPS &amp; 19" Racks</v>
          </cell>
          <cell r="D148" t="str">
            <v>54</v>
          </cell>
          <cell r="F148" t="str">
            <v>80%</v>
          </cell>
          <cell r="G148" t="str">
            <v>100%</v>
          </cell>
          <cell r="H148" t="str">
            <v>17 Mar 2023</v>
          </cell>
          <cell r="I148" t="str">
            <v>22 May 2023</v>
          </cell>
          <cell r="J148">
            <v>45065</v>
          </cell>
          <cell r="K148">
            <v>45729</v>
          </cell>
          <cell r="L148">
            <v>45002</v>
          </cell>
          <cell r="M148">
            <v>45068</v>
          </cell>
          <cell r="N148">
            <v>45065</v>
          </cell>
          <cell r="O148" t="str">
            <v>NA</v>
          </cell>
        </row>
        <row r="149">
          <cell r="A149" t="str">
            <v>A1060.M.04</v>
          </cell>
          <cell r="C149" t="str">
            <v>Public Announcement System</v>
          </cell>
          <cell r="D149" t="str">
            <v>35</v>
          </cell>
          <cell r="F149" t="str">
            <v>50%</v>
          </cell>
          <cell r="G149" t="str">
            <v>100%</v>
          </cell>
          <cell r="H149" t="str">
            <v>17 Mar 2023</v>
          </cell>
          <cell r="I149" t="str">
            <v>28 Apr 2023</v>
          </cell>
          <cell r="J149">
            <v>45603</v>
          </cell>
          <cell r="K149">
            <v>45742</v>
          </cell>
          <cell r="L149">
            <v>45002</v>
          </cell>
          <cell r="M149">
            <v>45044</v>
          </cell>
          <cell r="N149">
            <v>45603</v>
          </cell>
          <cell r="O149" t="str">
            <v>NA</v>
          </cell>
        </row>
        <row r="150">
          <cell r="A150" t="str">
            <v>A1060.M.05</v>
          </cell>
          <cell r="C150" t="str">
            <v>Electrical &amp; Structured Cabling Services</v>
          </cell>
          <cell r="D150" t="str">
            <v>80</v>
          </cell>
          <cell r="F150" t="str">
            <v>0%</v>
          </cell>
          <cell r="G150" t="str">
            <v>100%</v>
          </cell>
          <cell r="H150" t="str">
            <v>17 Mar 2023</v>
          </cell>
          <cell r="I150" t="str">
            <v>21 Jun 2023</v>
          </cell>
          <cell r="J150">
            <v>45749</v>
          </cell>
          <cell r="K150">
            <v>45841</v>
          </cell>
          <cell r="L150">
            <v>45002</v>
          </cell>
          <cell r="M150">
            <v>45098</v>
          </cell>
          <cell r="N150" t="str">
            <v>NA</v>
          </cell>
          <cell r="O150" t="str">
            <v>NA</v>
          </cell>
        </row>
        <row r="151">
          <cell r="A151" t="str">
            <v>A1060.M.06</v>
          </cell>
          <cell r="C151" t="str">
            <v>Data Processing Equipment</v>
          </cell>
          <cell r="D151" t="str">
            <v>54</v>
          </cell>
          <cell r="F151" t="str">
            <v>50%</v>
          </cell>
          <cell r="G151" t="str">
            <v>100%</v>
          </cell>
          <cell r="H151" t="str">
            <v>17 Mar 2023</v>
          </cell>
          <cell r="I151" t="str">
            <v>22 May 2023</v>
          </cell>
          <cell r="J151">
            <v>45481</v>
          </cell>
          <cell r="K151">
            <v>45748</v>
          </cell>
          <cell r="L151">
            <v>45002</v>
          </cell>
          <cell r="M151">
            <v>45068</v>
          </cell>
          <cell r="N151">
            <v>45481</v>
          </cell>
          <cell r="O151" t="str">
            <v>NA</v>
          </cell>
        </row>
        <row r="152">
          <cell r="A152" t="str">
            <v>A1060.M.07</v>
          </cell>
          <cell r="C152" t="str">
            <v>Data Communication Equipment</v>
          </cell>
          <cell r="D152" t="str">
            <v>54</v>
          </cell>
          <cell r="F152" t="str">
            <v>50%</v>
          </cell>
          <cell r="G152" t="str">
            <v>100%</v>
          </cell>
          <cell r="H152" t="str">
            <v>02 May 2023</v>
          </cell>
          <cell r="I152" t="str">
            <v>04 Jul 2023</v>
          </cell>
          <cell r="J152">
            <v>45521</v>
          </cell>
          <cell r="K152">
            <v>45773</v>
          </cell>
          <cell r="L152">
            <v>45048</v>
          </cell>
          <cell r="M152">
            <v>45111</v>
          </cell>
          <cell r="N152">
            <v>45521</v>
          </cell>
          <cell r="O152" t="str">
            <v>NA</v>
          </cell>
        </row>
        <row r="153">
          <cell r="A153" t="str">
            <v>A1060.M.08</v>
          </cell>
          <cell r="C153" t="str">
            <v>Station Integrated with Interfacing Controller for Receipt, Intercom, RFID, Biometrics, Traffic Lights, Vehicle Barrier</v>
          </cell>
          <cell r="D153" t="str">
            <v>80</v>
          </cell>
          <cell r="F153" t="str">
            <v>65%</v>
          </cell>
          <cell r="G153" t="str">
            <v>100%</v>
          </cell>
          <cell r="H153" t="str">
            <v>17 Mar 2023</v>
          </cell>
          <cell r="I153" t="str">
            <v>21 Jun 2023</v>
          </cell>
          <cell r="J153">
            <v>45478</v>
          </cell>
          <cell r="K153">
            <v>45751</v>
          </cell>
          <cell r="L153">
            <v>45002</v>
          </cell>
          <cell r="M153">
            <v>45098</v>
          </cell>
          <cell r="N153">
            <v>45478</v>
          </cell>
          <cell r="O153" t="str">
            <v>NA</v>
          </cell>
        </row>
        <row r="154">
          <cell r="A154" t="str">
            <v>A1060.M.09</v>
          </cell>
          <cell r="C154" t="str">
            <v>Video Recording System, LPR Hardware and Accessories</v>
          </cell>
          <cell r="D154" t="str">
            <v>63</v>
          </cell>
          <cell r="F154" t="str">
            <v>75%</v>
          </cell>
          <cell r="G154" t="str">
            <v>100%</v>
          </cell>
          <cell r="H154" t="str">
            <v>28 Mar 2023</v>
          </cell>
          <cell r="I154" t="str">
            <v>12 Jun 2023</v>
          </cell>
          <cell r="J154">
            <v>45485</v>
          </cell>
          <cell r="K154">
            <v>45737</v>
          </cell>
          <cell r="L154">
            <v>45013</v>
          </cell>
          <cell r="M154">
            <v>45089</v>
          </cell>
          <cell r="N154">
            <v>45485</v>
          </cell>
          <cell r="O154" t="str">
            <v>NA</v>
          </cell>
        </row>
        <row r="155">
          <cell r="A155" t="str">
            <v>A1060.M.10</v>
          </cell>
          <cell r="C155" t="str">
            <v>Zonal Detection System</v>
          </cell>
          <cell r="D155" t="str">
            <v>80</v>
          </cell>
          <cell r="F155" t="str">
            <v>35%</v>
          </cell>
          <cell r="G155" t="str">
            <v>100%</v>
          </cell>
          <cell r="H155" t="str">
            <v>23 May 2023</v>
          </cell>
          <cell r="I155" t="str">
            <v>25 Aug 2023</v>
          </cell>
          <cell r="J155">
            <v>45523</v>
          </cell>
          <cell r="K155">
            <v>45784</v>
          </cell>
          <cell r="L155">
            <v>45069</v>
          </cell>
          <cell r="M155">
            <v>45163</v>
          </cell>
          <cell r="N155">
            <v>45523</v>
          </cell>
          <cell r="O155" t="str">
            <v>NA</v>
          </cell>
        </row>
        <row r="156">
          <cell r="A156" t="str">
            <v>A1060.M.11</v>
          </cell>
          <cell r="C156" t="str">
            <v>Radioactive Devices</v>
          </cell>
          <cell r="D156" t="str">
            <v>36</v>
          </cell>
          <cell r="F156" t="str">
            <v>90%</v>
          </cell>
          <cell r="G156" t="str">
            <v>100%</v>
          </cell>
          <cell r="H156" t="str">
            <v>17 Apr 2023</v>
          </cell>
          <cell r="I156" t="str">
            <v>30 May 2023</v>
          </cell>
          <cell r="J156">
            <v>45474</v>
          </cell>
          <cell r="K156">
            <v>45721</v>
          </cell>
          <cell r="L156">
            <v>45033</v>
          </cell>
          <cell r="M156">
            <v>45076</v>
          </cell>
          <cell r="N156">
            <v>45474</v>
          </cell>
          <cell r="O156" t="str">
            <v>NA</v>
          </cell>
        </row>
        <row r="157">
          <cell r="A157" t="str">
            <v>A1060.M.12</v>
          </cell>
          <cell r="C157" t="str">
            <v>Heat Detection Devices</v>
          </cell>
          <cell r="D157" t="str">
            <v>45</v>
          </cell>
          <cell r="F157" t="str">
            <v>90%</v>
          </cell>
          <cell r="G157" t="str">
            <v>100%</v>
          </cell>
          <cell r="H157" t="str">
            <v>11 Mar 2023</v>
          </cell>
          <cell r="I157" t="str">
            <v>05 May 2023</v>
          </cell>
          <cell r="J157">
            <v>45474</v>
          </cell>
          <cell r="K157">
            <v>45722</v>
          </cell>
          <cell r="L157">
            <v>44996</v>
          </cell>
          <cell r="M157">
            <v>45051</v>
          </cell>
          <cell r="N157">
            <v>45474</v>
          </cell>
          <cell r="O157" t="str">
            <v>NA</v>
          </cell>
        </row>
        <row r="158">
          <cell r="A158" t="str">
            <v>A1060.M.13</v>
          </cell>
          <cell r="C158" t="str">
            <v>Ash Truck Positioning and Empty/Full Detection Devices</v>
          </cell>
          <cell r="D158" t="str">
            <v>54</v>
          </cell>
          <cell r="F158" t="str">
            <v>40%</v>
          </cell>
          <cell r="G158" t="str">
            <v>100%</v>
          </cell>
          <cell r="H158" t="str">
            <v>17 Apr 2023</v>
          </cell>
          <cell r="I158" t="str">
            <v>20 Jun 2023</v>
          </cell>
          <cell r="J158">
            <v>45495</v>
          </cell>
          <cell r="K158">
            <v>45761</v>
          </cell>
          <cell r="L158">
            <v>45033</v>
          </cell>
          <cell r="M158">
            <v>45097</v>
          </cell>
          <cell r="N158">
            <v>45495</v>
          </cell>
          <cell r="O158" t="str">
            <v>NA</v>
          </cell>
        </row>
        <row r="159">
          <cell r="A159" t="str">
            <v>A1070</v>
          </cell>
          <cell r="C159" t="str">
            <v>Completion of FAT for Weighbridge System</v>
          </cell>
          <cell r="D159" t="str">
            <v>55</v>
          </cell>
          <cell r="F159" t="str">
            <v>0%</v>
          </cell>
          <cell r="G159" t="str">
            <v>100%</v>
          </cell>
          <cell r="H159" t="str">
            <v>05 Jul 2023</v>
          </cell>
          <cell r="I159" t="str">
            <v>24 Oct 2023</v>
          </cell>
          <cell r="J159">
            <v>45842</v>
          </cell>
          <cell r="K159">
            <v>45905</v>
          </cell>
          <cell r="L159">
            <v>45112</v>
          </cell>
          <cell r="M159">
            <v>45223</v>
          </cell>
          <cell r="N159" t="str">
            <v>NA</v>
          </cell>
          <cell r="O159" t="str">
            <v>NA</v>
          </cell>
        </row>
        <row r="160">
          <cell r="A160" t="str">
            <v>A1070.F.01</v>
          </cell>
          <cell r="C160" t="str">
            <v>FAT for Weighbridge</v>
          </cell>
          <cell r="D160" t="str">
            <v>51</v>
          </cell>
          <cell r="F160" t="str">
            <v>0%</v>
          </cell>
          <cell r="G160" t="str">
            <v>100%</v>
          </cell>
          <cell r="H160" t="str">
            <v>24 Jul 2023</v>
          </cell>
          <cell r="I160" t="str">
            <v>21 Sep 2023</v>
          </cell>
          <cell r="J160">
            <v>45842</v>
          </cell>
          <cell r="K160">
            <v>45901</v>
          </cell>
          <cell r="L160">
            <v>45131</v>
          </cell>
          <cell r="M160">
            <v>45190</v>
          </cell>
          <cell r="N160" t="str">
            <v>NA</v>
          </cell>
          <cell r="O160" t="str">
            <v>NA</v>
          </cell>
        </row>
        <row r="161">
          <cell r="A161" t="str">
            <v>A1070.F.02</v>
          </cell>
          <cell r="C161" t="str">
            <v>FAT for Zonal Detection</v>
          </cell>
          <cell r="D161" t="str">
            <v>45</v>
          </cell>
          <cell r="F161" t="str">
            <v>0%</v>
          </cell>
          <cell r="G161" t="str">
            <v>100%</v>
          </cell>
          <cell r="H161" t="str">
            <v>26 Aug 2023</v>
          </cell>
          <cell r="I161" t="str">
            <v>17 Oct 2023</v>
          </cell>
          <cell r="J161">
            <v>45842</v>
          </cell>
          <cell r="K161">
            <v>45894</v>
          </cell>
          <cell r="L161">
            <v>45164</v>
          </cell>
          <cell r="M161">
            <v>45216</v>
          </cell>
          <cell r="N161" t="str">
            <v>NA</v>
          </cell>
          <cell r="O161" t="str">
            <v>NA</v>
          </cell>
        </row>
        <row r="162">
          <cell r="A162" t="str">
            <v>A1070.F.03</v>
          </cell>
          <cell r="C162" t="str">
            <v>FAT for Ash Truck Positioning and Empty/Full Detection Devices</v>
          </cell>
          <cell r="D162" t="str">
            <v>45</v>
          </cell>
          <cell r="F162" t="str">
            <v>0%</v>
          </cell>
          <cell r="G162" t="str">
            <v>100%</v>
          </cell>
          <cell r="H162" t="str">
            <v>05 Jul 2023</v>
          </cell>
          <cell r="I162" t="str">
            <v>26 Aug 2023</v>
          </cell>
          <cell r="J162">
            <v>45842</v>
          </cell>
          <cell r="K162">
            <v>45894</v>
          </cell>
          <cell r="L162">
            <v>45112</v>
          </cell>
          <cell r="M162">
            <v>45164</v>
          </cell>
          <cell r="N162" t="str">
            <v>NA</v>
          </cell>
          <cell r="O162" t="str">
            <v>NA</v>
          </cell>
        </row>
        <row r="163">
          <cell r="A163" t="str">
            <v>A1070.F.04</v>
          </cell>
          <cell r="C163" t="str">
            <v>Preparation of Holding Area for weighbridge platforms</v>
          </cell>
          <cell r="D163" t="str">
            <v>4</v>
          </cell>
          <cell r="F163" t="str">
            <v>0%</v>
          </cell>
          <cell r="G163" t="str">
            <v>100%</v>
          </cell>
          <cell r="H163" t="str">
            <v>20 Oct 2023</v>
          </cell>
          <cell r="I163" t="str">
            <v>24 Oct 2023</v>
          </cell>
          <cell r="J163">
            <v>45902</v>
          </cell>
          <cell r="K163">
            <v>45905</v>
          </cell>
          <cell r="L163">
            <v>45219</v>
          </cell>
          <cell r="M163">
            <v>45223</v>
          </cell>
          <cell r="N163" t="str">
            <v>NA</v>
          </cell>
          <cell r="O163" t="str">
            <v>NA</v>
          </cell>
        </row>
        <row r="164">
          <cell r="A164" t="str">
            <v>A1080</v>
          </cell>
          <cell r="C164" t="str">
            <v>Delivery to Site</v>
          </cell>
          <cell r="D164" t="str">
            <v>345</v>
          </cell>
          <cell r="F164" t="str">
            <v>0%</v>
          </cell>
          <cell r="G164" t="str">
            <v>100%</v>
          </cell>
          <cell r="H164" t="str">
            <v>22 Sep 2023</v>
          </cell>
          <cell r="I164" t="str">
            <v>02 Jan 2024</v>
          </cell>
          <cell r="J164">
            <v>45569</v>
          </cell>
          <cell r="K164">
            <v>45972</v>
          </cell>
          <cell r="L164">
            <v>45191</v>
          </cell>
          <cell r="M164">
            <v>45293</v>
          </cell>
          <cell r="N164">
            <v>45569</v>
          </cell>
          <cell r="O164" t="str">
            <v>NA</v>
          </cell>
        </row>
        <row r="165">
          <cell r="A165" t="str">
            <v>A1080.D.00</v>
          </cell>
          <cell r="C165" t="str">
            <v>Architectural and Building Service Works</v>
          </cell>
          <cell r="D165" t="str">
            <v>0.89</v>
          </cell>
          <cell r="F165" t="str">
            <v>0%</v>
          </cell>
          <cell r="G165" t="str">
            <v>100%</v>
          </cell>
          <cell r="H165" t="str">
            <v>22 Sep 2023</v>
          </cell>
          <cell r="I165" t="str">
            <v>22 Sep 2023</v>
          </cell>
          <cell r="J165">
            <v>45902</v>
          </cell>
          <cell r="K165">
            <v>45902</v>
          </cell>
          <cell r="L165">
            <v>45191</v>
          </cell>
          <cell r="M165">
            <v>45191</v>
          </cell>
          <cell r="N165" t="str">
            <v>NA</v>
          </cell>
          <cell r="O165" t="str">
            <v>NA</v>
          </cell>
        </row>
        <row r="166">
          <cell r="A166" t="str">
            <v>A1080.D.01</v>
          </cell>
          <cell r="C166" t="str">
            <v>Weighbridge System delivery</v>
          </cell>
          <cell r="D166" t="str">
            <v>345</v>
          </cell>
          <cell r="F166" t="str">
            <v>0%</v>
          </cell>
          <cell r="G166" t="str">
            <v>100%</v>
          </cell>
          <cell r="H166" t="str">
            <v>25 Oct 2023</v>
          </cell>
          <cell r="I166" t="str">
            <v>02 Jan 2024</v>
          </cell>
          <cell r="J166">
            <v>45569</v>
          </cell>
          <cell r="K166">
            <v>45972</v>
          </cell>
          <cell r="L166">
            <v>45224</v>
          </cell>
          <cell r="M166">
            <v>45293</v>
          </cell>
          <cell r="N166">
            <v>45569</v>
          </cell>
          <cell r="O166" t="str">
            <v>NA</v>
          </cell>
        </row>
        <row r="167">
          <cell r="A167" t="str">
            <v>A1080.D.02</v>
          </cell>
          <cell r="C167" t="str">
            <v>Other Weighbridge Equipments</v>
          </cell>
          <cell r="D167" t="str">
            <v>57</v>
          </cell>
          <cell r="F167" t="str">
            <v>0%</v>
          </cell>
          <cell r="G167" t="str">
            <v>100%</v>
          </cell>
          <cell r="H167" t="str">
            <v>25 Oct 2023</v>
          </cell>
          <cell r="I167" t="str">
            <v>02 Jan 2024</v>
          </cell>
          <cell r="J167">
            <v>45906</v>
          </cell>
          <cell r="K167">
            <v>45972</v>
          </cell>
          <cell r="L167">
            <v>45224</v>
          </cell>
          <cell r="M167">
            <v>45293</v>
          </cell>
          <cell r="N167" t="str">
            <v>NA</v>
          </cell>
          <cell r="O167" t="str">
            <v>NA</v>
          </cell>
        </row>
        <row r="168">
          <cell r="A168" t="str">
            <v>A1080.D.03</v>
          </cell>
          <cell r="C168" t="str">
            <v>Weighbridge Platform</v>
          </cell>
          <cell r="D168" t="str">
            <v>0</v>
          </cell>
          <cell r="F168" t="str">
            <v>100%</v>
          </cell>
          <cell r="G168" t="str">
            <v>100%</v>
          </cell>
          <cell r="H168" t="str">
            <v>25 Oct 2023</v>
          </cell>
          <cell r="I168" t="str">
            <v>02 Jan 2024</v>
          </cell>
          <cell r="J168">
            <v>45569</v>
          </cell>
          <cell r="K168">
            <v>45569</v>
          </cell>
          <cell r="L168">
            <v>45224</v>
          </cell>
          <cell r="M168">
            <v>45293</v>
          </cell>
          <cell r="N168">
            <v>45569</v>
          </cell>
          <cell r="O168">
            <v>45569</v>
          </cell>
        </row>
        <row r="169">
          <cell r="A169" t="str">
            <v>A1080.D.04</v>
          </cell>
          <cell r="C169" t="str">
            <v>Zonal Detection System delivery</v>
          </cell>
          <cell r="D169" t="str">
            <v>36</v>
          </cell>
          <cell r="F169" t="str">
            <v>0%</v>
          </cell>
          <cell r="G169" t="str">
            <v>100%</v>
          </cell>
          <cell r="H169" t="str">
            <v>25 Oct 2023</v>
          </cell>
          <cell r="I169" t="str">
            <v>06 Dec 2023</v>
          </cell>
          <cell r="J169">
            <v>45906</v>
          </cell>
          <cell r="K169">
            <v>45947</v>
          </cell>
          <cell r="L169">
            <v>45224</v>
          </cell>
          <cell r="M169">
            <v>45266</v>
          </cell>
          <cell r="N169" t="str">
            <v>NA</v>
          </cell>
          <cell r="O169" t="str">
            <v>NA</v>
          </cell>
        </row>
        <row r="170">
          <cell r="A170" t="str">
            <v>A1080.D.05</v>
          </cell>
          <cell r="C170" t="str">
            <v>Ash Truck Positioning and Empty/Full Detection Devices delivery</v>
          </cell>
          <cell r="D170" t="str">
            <v>36</v>
          </cell>
          <cell r="F170" t="str">
            <v>0%</v>
          </cell>
          <cell r="G170" t="str">
            <v>100%</v>
          </cell>
          <cell r="H170" t="str">
            <v>25 Oct 2023</v>
          </cell>
          <cell r="I170" t="str">
            <v>06 Dec 2023</v>
          </cell>
          <cell r="J170">
            <v>45906</v>
          </cell>
          <cell r="K170">
            <v>45947</v>
          </cell>
          <cell r="L170">
            <v>45224</v>
          </cell>
          <cell r="M170">
            <v>45266</v>
          </cell>
          <cell r="N170" t="str">
            <v>NA</v>
          </cell>
          <cell r="O170" t="str">
            <v>NA</v>
          </cell>
        </row>
        <row r="171">
          <cell r="A171" t="str">
            <v>A1090</v>
          </cell>
          <cell r="C171" t="str">
            <v>Installation</v>
          </cell>
          <cell r="D171" t="str">
            <v>100</v>
          </cell>
          <cell r="F171" t="str">
            <v>0%</v>
          </cell>
          <cell r="G171" t="str">
            <v>100%</v>
          </cell>
          <cell r="H171" t="str">
            <v>03 Jan 2024</v>
          </cell>
          <cell r="I171" t="str">
            <v>15 May 2024</v>
          </cell>
          <cell r="J171">
            <v>45973</v>
          </cell>
          <cell r="K171">
            <v>46088</v>
          </cell>
          <cell r="L171">
            <v>45294</v>
          </cell>
          <cell r="M171">
            <v>45427</v>
          </cell>
          <cell r="N171" t="str">
            <v>NA</v>
          </cell>
          <cell r="O171" t="str">
            <v>NA</v>
          </cell>
        </row>
        <row r="172">
          <cell r="A172" t="str">
            <v>A1090.I.01</v>
          </cell>
          <cell r="C172" t="str">
            <v>Weighbridge Foundation &amp; Control Room ready for Installation</v>
          </cell>
          <cell r="D172" t="str">
            <v>3</v>
          </cell>
          <cell r="F172" t="str">
            <v>0%</v>
          </cell>
          <cell r="G172" t="str">
            <v>100%</v>
          </cell>
          <cell r="H172" t="str">
            <v>03 Jan 2024</v>
          </cell>
          <cell r="I172" t="str">
            <v>05 Jan 2024</v>
          </cell>
          <cell r="J172">
            <v>45973</v>
          </cell>
          <cell r="K172">
            <v>45975</v>
          </cell>
          <cell r="L172">
            <v>45294</v>
          </cell>
          <cell r="M172">
            <v>45296</v>
          </cell>
          <cell r="N172" t="str">
            <v>NA</v>
          </cell>
          <cell r="O172" t="str">
            <v>NA</v>
          </cell>
        </row>
        <row r="173">
          <cell r="A173" t="str">
            <v>A1090.I.02</v>
          </cell>
          <cell r="C173" t="str">
            <v>Electrical and instrumentation works</v>
          </cell>
          <cell r="D173" t="str">
            <v>1</v>
          </cell>
          <cell r="F173" t="str">
            <v>0%</v>
          </cell>
          <cell r="G173" t="str">
            <v>100%</v>
          </cell>
          <cell r="H173" t="str">
            <v>06 Jan 2024</v>
          </cell>
          <cell r="I173" t="str">
            <v>06 Jan 2024</v>
          </cell>
          <cell r="J173">
            <v>45976</v>
          </cell>
          <cell r="K173">
            <v>45976</v>
          </cell>
          <cell r="L173">
            <v>45297</v>
          </cell>
          <cell r="M173">
            <v>45297</v>
          </cell>
          <cell r="N173" t="str">
            <v>NA</v>
          </cell>
          <cell r="O173" t="str">
            <v>NA</v>
          </cell>
        </row>
        <row r="174">
          <cell r="A174" t="str">
            <v>A1090.I.03</v>
          </cell>
          <cell r="C174" t="str">
            <v>Public Announcement System</v>
          </cell>
          <cell r="D174" t="str">
            <v>36</v>
          </cell>
          <cell r="F174" t="str">
            <v>0%</v>
          </cell>
          <cell r="G174" t="str">
            <v>100%</v>
          </cell>
          <cell r="H174" t="str">
            <v>08 Jan 2024</v>
          </cell>
          <cell r="I174" t="str">
            <v>20 Feb 2024</v>
          </cell>
          <cell r="J174">
            <v>45978</v>
          </cell>
          <cell r="K174">
            <v>46018</v>
          </cell>
          <cell r="L174">
            <v>45299</v>
          </cell>
          <cell r="M174">
            <v>45342</v>
          </cell>
          <cell r="N174" t="str">
            <v>NA</v>
          </cell>
          <cell r="O174" t="str">
            <v>NA</v>
          </cell>
        </row>
        <row r="175">
          <cell r="A175" t="str">
            <v>A1090.I.04</v>
          </cell>
          <cell r="C175" t="str">
            <v>Weighbridges</v>
          </cell>
          <cell r="D175" t="str">
            <v>96</v>
          </cell>
          <cell r="F175" t="str">
            <v>0%</v>
          </cell>
          <cell r="G175" t="str">
            <v>100%</v>
          </cell>
          <cell r="H175" t="str">
            <v>19 Jan 2024</v>
          </cell>
          <cell r="I175" t="str">
            <v>15 May 2024</v>
          </cell>
          <cell r="J175">
            <v>45978</v>
          </cell>
          <cell r="K175">
            <v>46088</v>
          </cell>
          <cell r="L175">
            <v>45310</v>
          </cell>
          <cell r="M175">
            <v>45427</v>
          </cell>
          <cell r="N175" t="str">
            <v>NA</v>
          </cell>
          <cell r="O175" t="str">
            <v>NA</v>
          </cell>
        </row>
        <row r="176">
          <cell r="A176" t="str">
            <v>A1090.I.05</v>
          </cell>
          <cell r="C176" t="str">
            <v>Furniture</v>
          </cell>
          <cell r="D176" t="str">
            <v>18</v>
          </cell>
          <cell r="F176" t="str">
            <v>0%</v>
          </cell>
          <cell r="G176" t="str">
            <v>100%</v>
          </cell>
          <cell r="H176" t="str">
            <v>08 Jan 2024</v>
          </cell>
          <cell r="I176" t="str">
            <v>27 Jan 2024</v>
          </cell>
          <cell r="J176">
            <v>45978</v>
          </cell>
          <cell r="K176">
            <v>45997</v>
          </cell>
          <cell r="L176">
            <v>45299</v>
          </cell>
          <cell r="M176">
            <v>45318</v>
          </cell>
          <cell r="N176" t="str">
            <v>NA</v>
          </cell>
          <cell r="O176" t="str">
            <v>NA</v>
          </cell>
        </row>
        <row r="177">
          <cell r="A177" t="str">
            <v>A1090.I.06</v>
          </cell>
          <cell r="C177" t="str">
            <v>Rack</v>
          </cell>
          <cell r="D177" t="str">
            <v>18</v>
          </cell>
          <cell r="F177" t="str">
            <v>0%</v>
          </cell>
          <cell r="G177" t="str">
            <v>100%</v>
          </cell>
          <cell r="H177" t="str">
            <v>08 Jan 2024</v>
          </cell>
          <cell r="I177" t="str">
            <v>27 Jan 2024</v>
          </cell>
          <cell r="J177">
            <v>45978</v>
          </cell>
          <cell r="K177">
            <v>45997</v>
          </cell>
          <cell r="L177">
            <v>45299</v>
          </cell>
          <cell r="M177">
            <v>45318</v>
          </cell>
          <cell r="N177" t="str">
            <v>NA</v>
          </cell>
          <cell r="O177" t="str">
            <v>NA</v>
          </cell>
        </row>
        <row r="178">
          <cell r="A178" t="str">
            <v>A1090.I.07</v>
          </cell>
          <cell r="C178" t="str">
            <v>UPS</v>
          </cell>
          <cell r="D178" t="str">
            <v>18</v>
          </cell>
          <cell r="F178" t="str">
            <v>0%</v>
          </cell>
          <cell r="G178" t="str">
            <v>100%</v>
          </cell>
          <cell r="H178" t="str">
            <v>08 Jan 2024</v>
          </cell>
          <cell r="I178" t="str">
            <v>27 Jan 2024</v>
          </cell>
          <cell r="J178">
            <v>45978</v>
          </cell>
          <cell r="K178">
            <v>45997</v>
          </cell>
          <cell r="L178">
            <v>45299</v>
          </cell>
          <cell r="M178">
            <v>45318</v>
          </cell>
          <cell r="N178" t="str">
            <v>NA</v>
          </cell>
          <cell r="O178" t="str">
            <v>NA</v>
          </cell>
        </row>
        <row r="179">
          <cell r="A179" t="str">
            <v>A1090.I.08</v>
          </cell>
          <cell r="C179" t="str">
            <v>Data Processing System (DPS)</v>
          </cell>
          <cell r="D179" t="str">
            <v>27</v>
          </cell>
          <cell r="F179" t="str">
            <v>0%</v>
          </cell>
          <cell r="G179" t="str">
            <v>100%</v>
          </cell>
          <cell r="H179" t="str">
            <v>08 Jan 2024</v>
          </cell>
          <cell r="I179" t="str">
            <v>07 Feb 2024</v>
          </cell>
          <cell r="J179">
            <v>45978</v>
          </cell>
          <cell r="K179">
            <v>46008</v>
          </cell>
          <cell r="L179">
            <v>45299</v>
          </cell>
          <cell r="M179">
            <v>45329</v>
          </cell>
          <cell r="N179" t="str">
            <v>NA</v>
          </cell>
          <cell r="O179" t="str">
            <v>NA</v>
          </cell>
        </row>
        <row r="180">
          <cell r="A180" t="str">
            <v>A1090.I.09</v>
          </cell>
          <cell r="C180" t="str">
            <v>Data Communication System</v>
          </cell>
          <cell r="D180" t="str">
            <v>27</v>
          </cell>
          <cell r="F180" t="str">
            <v>0%</v>
          </cell>
          <cell r="G180" t="str">
            <v>100%</v>
          </cell>
          <cell r="H180" t="str">
            <v>08 Jan 2024</v>
          </cell>
          <cell r="I180" t="str">
            <v>07 Feb 2024</v>
          </cell>
          <cell r="J180">
            <v>45978</v>
          </cell>
          <cell r="K180">
            <v>46008</v>
          </cell>
          <cell r="L180">
            <v>45299</v>
          </cell>
          <cell r="M180">
            <v>45329</v>
          </cell>
          <cell r="N180" t="str">
            <v>NA</v>
          </cell>
          <cell r="O180" t="str">
            <v>NA</v>
          </cell>
        </row>
        <row r="181">
          <cell r="A181" t="str">
            <v>A1090.I.10</v>
          </cell>
          <cell r="C181" t="str">
            <v>Interfacing Controller (IFC)</v>
          </cell>
          <cell r="D181" t="str">
            <v>18</v>
          </cell>
          <cell r="F181" t="str">
            <v>0%</v>
          </cell>
          <cell r="G181" t="str">
            <v>100%</v>
          </cell>
          <cell r="H181" t="str">
            <v>08 Jan 2024</v>
          </cell>
          <cell r="I181" t="str">
            <v>27 Jan 2024</v>
          </cell>
          <cell r="J181">
            <v>45978</v>
          </cell>
          <cell r="K181">
            <v>45997</v>
          </cell>
          <cell r="L181">
            <v>45299</v>
          </cell>
          <cell r="M181">
            <v>45318</v>
          </cell>
          <cell r="N181" t="str">
            <v>NA</v>
          </cell>
          <cell r="O181" t="str">
            <v>NA</v>
          </cell>
        </row>
        <row r="182">
          <cell r="A182" t="str">
            <v>A1090.I.11</v>
          </cell>
          <cell r="C182" t="str">
            <v>Weighbridge Intercom Kiosk</v>
          </cell>
          <cell r="D182" t="str">
            <v>50</v>
          </cell>
          <cell r="F182" t="str">
            <v>0%</v>
          </cell>
          <cell r="G182" t="str">
            <v>100%</v>
          </cell>
          <cell r="H182" t="str">
            <v>08 Jan 2024</v>
          </cell>
          <cell r="I182" t="str">
            <v>07 Mar 2024</v>
          </cell>
          <cell r="J182">
            <v>45978</v>
          </cell>
          <cell r="K182">
            <v>46035</v>
          </cell>
          <cell r="L182">
            <v>45299</v>
          </cell>
          <cell r="M182">
            <v>45358</v>
          </cell>
          <cell r="N182" t="str">
            <v>NA</v>
          </cell>
          <cell r="O182" t="str">
            <v>NA</v>
          </cell>
        </row>
        <row r="183">
          <cell r="A183" t="str">
            <v>A1090.I.12</v>
          </cell>
          <cell r="C183" t="str">
            <v>EPS Antenna</v>
          </cell>
          <cell r="D183" t="str">
            <v>26</v>
          </cell>
          <cell r="F183" t="str">
            <v>0%</v>
          </cell>
          <cell r="G183" t="str">
            <v>100%</v>
          </cell>
          <cell r="H183" t="str">
            <v>08 Jan 2024</v>
          </cell>
          <cell r="I183" t="str">
            <v>06 Feb 2024</v>
          </cell>
          <cell r="J183">
            <v>45978</v>
          </cell>
          <cell r="K183">
            <v>46007</v>
          </cell>
          <cell r="L183">
            <v>45299</v>
          </cell>
          <cell r="M183">
            <v>45328</v>
          </cell>
          <cell r="N183" t="str">
            <v>NA</v>
          </cell>
          <cell r="O183" t="str">
            <v>NA</v>
          </cell>
        </row>
        <row r="184">
          <cell r="A184" t="str">
            <v>A1090.I.13</v>
          </cell>
          <cell r="C184" t="str">
            <v>Traffic Lights</v>
          </cell>
          <cell r="D184" t="str">
            <v>26</v>
          </cell>
          <cell r="F184" t="str">
            <v>0%</v>
          </cell>
          <cell r="G184" t="str">
            <v>100%</v>
          </cell>
          <cell r="H184" t="str">
            <v>08 Jan 2024</v>
          </cell>
          <cell r="I184" t="str">
            <v>06 Feb 2024</v>
          </cell>
          <cell r="J184">
            <v>45978</v>
          </cell>
          <cell r="K184">
            <v>46007</v>
          </cell>
          <cell r="L184">
            <v>45299</v>
          </cell>
          <cell r="M184">
            <v>45328</v>
          </cell>
          <cell r="N184" t="str">
            <v>NA</v>
          </cell>
          <cell r="O184" t="str">
            <v>NA</v>
          </cell>
        </row>
        <row r="185">
          <cell r="A185" t="str">
            <v>A1090.I.14</v>
          </cell>
          <cell r="C185" t="str">
            <v>Barriers</v>
          </cell>
          <cell r="D185" t="str">
            <v>26</v>
          </cell>
          <cell r="F185" t="str">
            <v>0%</v>
          </cell>
          <cell r="G185" t="str">
            <v>100%</v>
          </cell>
          <cell r="H185" t="str">
            <v>08 Jan 2024</v>
          </cell>
          <cell r="I185" t="str">
            <v>06 Feb 2024</v>
          </cell>
          <cell r="J185">
            <v>45978</v>
          </cell>
          <cell r="K185">
            <v>46007</v>
          </cell>
          <cell r="L185">
            <v>45299</v>
          </cell>
          <cell r="M185">
            <v>45328</v>
          </cell>
          <cell r="N185" t="str">
            <v>NA</v>
          </cell>
          <cell r="O185" t="str">
            <v>NA</v>
          </cell>
        </row>
        <row r="186">
          <cell r="A186" t="str">
            <v>A1090.I.15</v>
          </cell>
          <cell r="C186" t="str">
            <v>License Plate Recognition System (LPR)</v>
          </cell>
          <cell r="D186" t="str">
            <v>26</v>
          </cell>
          <cell r="F186" t="str">
            <v>0%</v>
          </cell>
          <cell r="G186" t="str">
            <v>100%</v>
          </cell>
          <cell r="H186" t="str">
            <v>08 Jan 2024</v>
          </cell>
          <cell r="I186" t="str">
            <v>06 Feb 2024</v>
          </cell>
          <cell r="J186">
            <v>45978</v>
          </cell>
          <cell r="K186">
            <v>46007</v>
          </cell>
          <cell r="L186">
            <v>45299</v>
          </cell>
          <cell r="M186">
            <v>45328</v>
          </cell>
          <cell r="N186" t="str">
            <v>NA</v>
          </cell>
          <cell r="O186" t="str">
            <v>NA</v>
          </cell>
        </row>
        <row r="187">
          <cell r="A187" t="str">
            <v>A1090.I.16</v>
          </cell>
          <cell r="C187" t="str">
            <v>Video Recording System (VRS)</v>
          </cell>
          <cell r="D187" t="str">
            <v>26</v>
          </cell>
          <cell r="F187" t="str">
            <v>0%</v>
          </cell>
          <cell r="G187" t="str">
            <v>100%</v>
          </cell>
          <cell r="H187" t="str">
            <v>08 Jan 2024</v>
          </cell>
          <cell r="I187" t="str">
            <v>06 Feb 2024</v>
          </cell>
          <cell r="J187">
            <v>45978</v>
          </cell>
          <cell r="K187">
            <v>46007</v>
          </cell>
          <cell r="L187">
            <v>45299</v>
          </cell>
          <cell r="M187">
            <v>45328</v>
          </cell>
          <cell r="N187" t="str">
            <v>NA</v>
          </cell>
          <cell r="O187" t="str">
            <v>NA</v>
          </cell>
        </row>
        <row r="188">
          <cell r="A188" t="str">
            <v>A1090.I.17</v>
          </cell>
          <cell r="C188" t="str">
            <v>Radioactive Devices</v>
          </cell>
          <cell r="D188" t="str">
            <v>24</v>
          </cell>
          <cell r="F188" t="str">
            <v>0%</v>
          </cell>
          <cell r="G188" t="str">
            <v>100%</v>
          </cell>
          <cell r="H188" t="str">
            <v>08 Jan 2024</v>
          </cell>
          <cell r="I188" t="str">
            <v>03 Feb 2024</v>
          </cell>
          <cell r="J188">
            <v>45978</v>
          </cell>
          <cell r="K188">
            <v>46004</v>
          </cell>
          <cell r="L188">
            <v>45299</v>
          </cell>
          <cell r="M188">
            <v>45325</v>
          </cell>
          <cell r="N188" t="str">
            <v>NA</v>
          </cell>
          <cell r="O188" t="str">
            <v>NA</v>
          </cell>
        </row>
        <row r="189">
          <cell r="A189" t="str">
            <v>A1090.I.18</v>
          </cell>
          <cell r="C189" t="str">
            <v>Load Heat Detection Devices</v>
          </cell>
          <cell r="D189" t="str">
            <v>24</v>
          </cell>
          <cell r="F189" t="str">
            <v>0%</v>
          </cell>
          <cell r="G189" t="str">
            <v>100%</v>
          </cell>
          <cell r="H189" t="str">
            <v>08 Jan 2024</v>
          </cell>
          <cell r="I189" t="str">
            <v>03 Feb 2024</v>
          </cell>
          <cell r="J189">
            <v>45978</v>
          </cell>
          <cell r="K189">
            <v>46004</v>
          </cell>
          <cell r="L189">
            <v>45299</v>
          </cell>
          <cell r="M189">
            <v>45325</v>
          </cell>
          <cell r="N189" t="str">
            <v>NA</v>
          </cell>
          <cell r="O189" t="str">
            <v>NA</v>
          </cell>
        </row>
        <row r="190">
          <cell r="A190" t="str">
            <v>A1090.I.19</v>
          </cell>
          <cell r="C190" t="str">
            <v>Single weighbridge physical mock-up</v>
          </cell>
          <cell r="D190" t="str">
            <v>37</v>
          </cell>
          <cell r="F190" t="str">
            <v>0%</v>
          </cell>
          <cell r="G190" t="str">
            <v>100%</v>
          </cell>
          <cell r="H190" t="str">
            <v>08 Jan 2024</v>
          </cell>
          <cell r="I190" t="str">
            <v>21 Feb 2024</v>
          </cell>
          <cell r="J190">
            <v>45978</v>
          </cell>
          <cell r="K190">
            <v>46020</v>
          </cell>
          <cell r="L190">
            <v>45299</v>
          </cell>
          <cell r="M190">
            <v>45343</v>
          </cell>
          <cell r="N190" t="str">
            <v>NA</v>
          </cell>
          <cell r="O190" t="str">
            <v>NA</v>
          </cell>
        </row>
        <row r="191">
          <cell r="A191" t="str">
            <v>A1090.I.20</v>
          </cell>
          <cell r="C191" t="str">
            <v>Zonal Detection System</v>
          </cell>
          <cell r="D191" t="str">
            <v>38</v>
          </cell>
          <cell r="F191" t="str">
            <v>0%</v>
          </cell>
          <cell r="G191" t="str">
            <v>100%</v>
          </cell>
          <cell r="H191" t="str">
            <v>08 Jan 2024</v>
          </cell>
          <cell r="I191" t="str">
            <v>22 Feb 2024</v>
          </cell>
          <cell r="J191">
            <v>45978</v>
          </cell>
          <cell r="K191">
            <v>46021</v>
          </cell>
          <cell r="L191">
            <v>45299</v>
          </cell>
          <cell r="M191">
            <v>45344</v>
          </cell>
          <cell r="N191" t="str">
            <v>NA</v>
          </cell>
          <cell r="O191" t="str">
            <v>NA</v>
          </cell>
        </row>
        <row r="192">
          <cell r="A192" t="str">
            <v>A1090.I.21</v>
          </cell>
          <cell r="C192" t="str">
            <v>Ash Truck Positioning and Empty/Full Detection Devices</v>
          </cell>
          <cell r="D192" t="str">
            <v>50</v>
          </cell>
          <cell r="F192" t="str">
            <v>0%</v>
          </cell>
          <cell r="G192" t="str">
            <v>100%</v>
          </cell>
          <cell r="H192" t="str">
            <v>08 Jan 2024</v>
          </cell>
          <cell r="I192" t="str">
            <v>07 Mar 2024</v>
          </cell>
          <cell r="J192">
            <v>45978</v>
          </cell>
          <cell r="K192">
            <v>46035</v>
          </cell>
          <cell r="L192">
            <v>45299</v>
          </cell>
          <cell r="M192">
            <v>45358</v>
          </cell>
          <cell r="N192" t="str">
            <v>NA</v>
          </cell>
          <cell r="O192" t="str">
            <v>NA</v>
          </cell>
        </row>
        <row r="193">
          <cell r="C193" t="str">
            <v>Testing &amp; Commissioning</v>
          </cell>
          <cell r="D193" t="str">
            <v>400</v>
          </cell>
          <cell r="F193" t="str">
            <v>0%</v>
          </cell>
          <cell r="G193" t="str">
            <v>100%</v>
          </cell>
          <cell r="H193" t="str">
            <v>30 May 2024</v>
          </cell>
          <cell r="I193" t="str">
            <v>07 Oct 2025</v>
          </cell>
          <cell r="J193">
            <v>46090</v>
          </cell>
          <cell r="K193">
            <v>46555</v>
          </cell>
          <cell r="L193">
            <v>45442</v>
          </cell>
          <cell r="M193">
            <v>45937</v>
          </cell>
          <cell r="N193" t="str">
            <v>NA</v>
          </cell>
          <cell r="O193" t="str">
            <v>NA</v>
          </cell>
        </row>
        <row r="194">
          <cell r="A194" t="str">
            <v>A1100</v>
          </cell>
          <cell r="C194" t="str">
            <v>ERP/ DCS Interface Readiness</v>
          </cell>
          <cell r="D194" t="str">
            <v>1</v>
          </cell>
          <cell r="F194" t="str">
            <v>0%</v>
          </cell>
          <cell r="G194" t="str">
            <v>100%</v>
          </cell>
          <cell r="H194" t="str">
            <v>30 May 2024</v>
          </cell>
          <cell r="I194" t="str">
            <v>30 May 2024</v>
          </cell>
          <cell r="J194">
            <v>46090</v>
          </cell>
          <cell r="K194">
            <v>46090</v>
          </cell>
          <cell r="L194">
            <v>45442</v>
          </cell>
          <cell r="M194">
            <v>45442</v>
          </cell>
          <cell r="N194" t="str">
            <v>NA</v>
          </cell>
          <cell r="O194" t="str">
            <v>NA</v>
          </cell>
        </row>
        <row r="195">
          <cell r="A195" t="str">
            <v>A1110</v>
          </cell>
          <cell r="C195" t="str">
            <v>Site Acceptance Test</v>
          </cell>
          <cell r="D195" t="str">
            <v>90</v>
          </cell>
          <cell r="F195" t="str">
            <v>0%</v>
          </cell>
          <cell r="G195" t="str">
            <v>100%</v>
          </cell>
          <cell r="H195" t="str">
            <v>31 May 2024</v>
          </cell>
          <cell r="I195" t="str">
            <v>13 Sep 2024</v>
          </cell>
          <cell r="J195">
            <v>46091</v>
          </cell>
          <cell r="K195">
            <v>46195</v>
          </cell>
          <cell r="L195">
            <v>45443</v>
          </cell>
          <cell r="M195">
            <v>45548</v>
          </cell>
          <cell r="N195" t="str">
            <v>NA</v>
          </cell>
          <cell r="O195" t="str">
            <v>NA</v>
          </cell>
        </row>
        <row r="196">
          <cell r="A196" t="str">
            <v>A1110.S.01</v>
          </cell>
          <cell r="C196" t="str">
            <v>Client Inspection of Weighbridge Sub-system</v>
          </cell>
          <cell r="D196" t="str">
            <v>25</v>
          </cell>
          <cell r="F196" t="str">
            <v>0%</v>
          </cell>
          <cell r="G196" t="str">
            <v>100%</v>
          </cell>
          <cell r="H196" t="str">
            <v>31 May 2024</v>
          </cell>
          <cell r="I196" t="str">
            <v>29 Jun 2024</v>
          </cell>
          <cell r="J196">
            <v>46091</v>
          </cell>
          <cell r="K196">
            <v>46119</v>
          </cell>
          <cell r="L196">
            <v>45443</v>
          </cell>
          <cell r="M196">
            <v>45472</v>
          </cell>
          <cell r="N196" t="str">
            <v>NA</v>
          </cell>
          <cell r="O196" t="str">
            <v>NA</v>
          </cell>
        </row>
        <row r="197">
          <cell r="A197" t="str">
            <v>A1110.S.02</v>
          </cell>
          <cell r="C197" t="str">
            <v>Client Inspection of Zonal Detection Sub-system</v>
          </cell>
          <cell r="D197" t="str">
            <v>27</v>
          </cell>
          <cell r="F197" t="str">
            <v>0%</v>
          </cell>
          <cell r="G197" t="str">
            <v>100%</v>
          </cell>
          <cell r="H197" t="str">
            <v>01 Jul 2024</v>
          </cell>
          <cell r="I197" t="str">
            <v>31 Jul 2024</v>
          </cell>
          <cell r="J197">
            <v>46120</v>
          </cell>
          <cell r="K197">
            <v>46150</v>
          </cell>
          <cell r="L197">
            <v>45474</v>
          </cell>
          <cell r="M197">
            <v>45504</v>
          </cell>
          <cell r="N197" t="str">
            <v>NA</v>
          </cell>
          <cell r="O197" t="str">
            <v>NA</v>
          </cell>
        </row>
        <row r="198">
          <cell r="A198" t="str">
            <v>A1110.S.03</v>
          </cell>
          <cell r="C198" t="str">
            <v>Punchlist Clearance</v>
          </cell>
          <cell r="D198" t="str">
            <v>20</v>
          </cell>
          <cell r="F198" t="str">
            <v>0%</v>
          </cell>
          <cell r="G198" t="str">
            <v>100%</v>
          </cell>
          <cell r="H198" t="str">
            <v>01 Aug 2024</v>
          </cell>
          <cell r="I198" t="str">
            <v>23 Aug 2024</v>
          </cell>
          <cell r="J198">
            <v>46151</v>
          </cell>
          <cell r="K198">
            <v>46174</v>
          </cell>
          <cell r="L198">
            <v>45505</v>
          </cell>
          <cell r="M198">
            <v>45527</v>
          </cell>
          <cell r="N198" t="str">
            <v>NA</v>
          </cell>
          <cell r="O198" t="str">
            <v>NA</v>
          </cell>
        </row>
        <row r="199">
          <cell r="A199" t="str">
            <v>A1110.S.04</v>
          </cell>
          <cell r="C199" t="str">
            <v>User Training</v>
          </cell>
          <cell r="D199" t="str">
            <v>18</v>
          </cell>
          <cell r="F199" t="str">
            <v>0%</v>
          </cell>
          <cell r="G199" t="str">
            <v>100%</v>
          </cell>
          <cell r="H199" t="str">
            <v>24 Aug 2024</v>
          </cell>
          <cell r="I199" t="str">
            <v>13 Sep 2024</v>
          </cell>
          <cell r="J199">
            <v>46175</v>
          </cell>
          <cell r="K199">
            <v>46195</v>
          </cell>
          <cell r="L199">
            <v>45528</v>
          </cell>
          <cell r="M199">
            <v>45548</v>
          </cell>
          <cell r="N199" t="str">
            <v>NA</v>
          </cell>
          <cell r="O199" t="str">
            <v>NA</v>
          </cell>
        </row>
        <row r="200">
          <cell r="A200" t="str">
            <v>A1120</v>
          </cell>
          <cell r="C200" t="str">
            <v>System Commissioning Test</v>
          </cell>
          <cell r="D200" t="str">
            <v>80</v>
          </cell>
          <cell r="F200" t="str">
            <v>0%</v>
          </cell>
          <cell r="G200" t="str">
            <v>100%</v>
          </cell>
          <cell r="H200" t="str">
            <v>14 Sep 2024</v>
          </cell>
          <cell r="I200" t="str">
            <v>16 Dec 2024</v>
          </cell>
          <cell r="J200">
            <v>46196</v>
          </cell>
          <cell r="K200">
            <v>46288</v>
          </cell>
          <cell r="L200">
            <v>45549</v>
          </cell>
          <cell r="M200">
            <v>45642</v>
          </cell>
          <cell r="N200" t="str">
            <v>NA</v>
          </cell>
          <cell r="O200" t="str">
            <v>NA</v>
          </cell>
        </row>
        <row r="201">
          <cell r="A201" t="str">
            <v>A1120.S.01</v>
          </cell>
          <cell r="C201" t="str">
            <v>Weighbridge (Line 1&amp;2) System Conduct System Commissioning Test - Hardware</v>
          </cell>
          <cell r="D201" t="str">
            <v>80</v>
          </cell>
          <cell r="F201" t="str">
            <v>0%</v>
          </cell>
          <cell r="G201" t="str">
            <v>100%</v>
          </cell>
          <cell r="H201" t="str">
            <v>14 Sep 2024</v>
          </cell>
          <cell r="I201" t="str">
            <v>16 Dec 2024</v>
          </cell>
          <cell r="J201">
            <v>46196</v>
          </cell>
          <cell r="K201">
            <v>46288</v>
          </cell>
          <cell r="L201">
            <v>45549</v>
          </cell>
          <cell r="M201">
            <v>45642</v>
          </cell>
          <cell r="N201" t="str">
            <v>NA</v>
          </cell>
          <cell r="O201" t="str">
            <v>NA</v>
          </cell>
        </row>
        <row r="202">
          <cell r="A202" t="str">
            <v>A1120.S.02</v>
          </cell>
          <cell r="C202" t="str">
            <v>Weighbridge (Line 1&amp;2) System Conduct System Commissioning Test - Software</v>
          </cell>
          <cell r="D202" t="str">
            <v>80</v>
          </cell>
          <cell r="F202" t="str">
            <v>0%</v>
          </cell>
          <cell r="G202" t="str">
            <v>100%</v>
          </cell>
          <cell r="H202" t="str">
            <v>14 Sep 2024</v>
          </cell>
          <cell r="I202" t="str">
            <v>16 Dec 2024</v>
          </cell>
          <cell r="J202">
            <v>46196</v>
          </cell>
          <cell r="K202">
            <v>46288</v>
          </cell>
          <cell r="L202">
            <v>45549</v>
          </cell>
          <cell r="M202">
            <v>45642</v>
          </cell>
          <cell r="N202" t="str">
            <v>NA</v>
          </cell>
          <cell r="O202" t="str">
            <v>NA</v>
          </cell>
        </row>
        <row r="203">
          <cell r="A203" t="str">
            <v>A1120.S.03</v>
          </cell>
          <cell r="C203" t="str">
            <v>Weighbridge Zonal System Conduct System Commissioning Test</v>
          </cell>
          <cell r="D203" t="str">
            <v>80</v>
          </cell>
          <cell r="F203" t="str">
            <v>0%</v>
          </cell>
          <cell r="G203" t="str">
            <v>100%</v>
          </cell>
          <cell r="H203" t="str">
            <v>14 Sep 2024</v>
          </cell>
          <cell r="I203" t="str">
            <v>16 Dec 2024</v>
          </cell>
          <cell r="J203">
            <v>46196</v>
          </cell>
          <cell r="K203">
            <v>46288</v>
          </cell>
          <cell r="L203">
            <v>45549</v>
          </cell>
          <cell r="M203">
            <v>45642</v>
          </cell>
          <cell r="N203" t="str">
            <v>NA</v>
          </cell>
          <cell r="O203" t="str">
            <v>NA</v>
          </cell>
        </row>
        <row r="204">
          <cell r="A204" t="str">
            <v>A1120.S.04</v>
          </cell>
          <cell r="C204" t="str">
            <v>Weighbridge (Line 3&amp;4) System Commissioning Test</v>
          </cell>
          <cell r="D204" t="str">
            <v>80</v>
          </cell>
          <cell r="F204" t="str">
            <v>0%</v>
          </cell>
          <cell r="G204" t="str">
            <v>100%</v>
          </cell>
          <cell r="H204" t="str">
            <v>17 Dec 2024</v>
          </cell>
          <cell r="I204" t="str">
            <v>19 Mar 2025</v>
          </cell>
          <cell r="J204">
            <v>46289</v>
          </cell>
          <cell r="K204">
            <v>46381</v>
          </cell>
          <cell r="L204">
            <v>45643</v>
          </cell>
          <cell r="M204">
            <v>45735</v>
          </cell>
          <cell r="N204" t="str">
            <v>NA</v>
          </cell>
          <cell r="O204" t="str">
            <v>NA</v>
          </cell>
        </row>
        <row r="205">
          <cell r="A205" t="str">
            <v>A1130</v>
          </cell>
          <cell r="C205" t="str">
            <v>Successful Completion of Trial Operation Test</v>
          </cell>
          <cell r="D205" t="str">
            <v>95</v>
          </cell>
          <cell r="F205" t="str">
            <v>0%</v>
          </cell>
          <cell r="G205" t="str">
            <v>100%</v>
          </cell>
          <cell r="H205" t="str">
            <v>21 Mar 2025</v>
          </cell>
          <cell r="I205" t="str">
            <v>09 Jul 2025</v>
          </cell>
          <cell r="J205">
            <v>46382</v>
          </cell>
          <cell r="K205">
            <v>46492</v>
          </cell>
          <cell r="L205">
            <v>45737</v>
          </cell>
          <cell r="M205">
            <v>45847</v>
          </cell>
          <cell r="N205" t="str">
            <v>NA</v>
          </cell>
          <cell r="O205" t="str">
            <v>NA</v>
          </cell>
        </row>
        <row r="206">
          <cell r="A206" t="str">
            <v>A1150</v>
          </cell>
          <cell r="C206" t="str">
            <v>Completion of the whole Sub-Contract Works</v>
          </cell>
          <cell r="D206" t="str">
            <v>54</v>
          </cell>
          <cell r="F206" t="str">
            <v>0%</v>
          </cell>
          <cell r="G206" t="str">
            <v>100%</v>
          </cell>
          <cell r="H206" t="str">
            <v>10 Jul 2025</v>
          </cell>
          <cell r="I206" t="str">
            <v>07 Oct 2025</v>
          </cell>
          <cell r="J206">
            <v>46493</v>
          </cell>
          <cell r="K206">
            <v>46555</v>
          </cell>
          <cell r="L206">
            <v>45848</v>
          </cell>
          <cell r="M206">
            <v>45937</v>
          </cell>
          <cell r="N206" t="str">
            <v>NA</v>
          </cell>
          <cell r="O206" t="str">
            <v>NA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8BC7-114D-42F4-884E-638D27144153}">
  <dimension ref="A1:M1000"/>
  <sheetViews>
    <sheetView workbookViewId="0">
      <selection sqref="A1:XFD1048576"/>
    </sheetView>
  </sheetViews>
  <sheetFormatPr defaultColWidth="14.42578125" defaultRowHeight="15" x14ac:dyDescent="0.25"/>
  <cols>
    <col min="1" max="1" width="15" customWidth="1"/>
    <col min="2" max="2" width="73.42578125" customWidth="1"/>
    <col min="3" max="3" width="9.85546875" customWidth="1"/>
    <col min="4" max="4" width="10.85546875" customWidth="1"/>
    <col min="5" max="5" width="10.140625" customWidth="1"/>
    <col min="6" max="6" width="11.85546875" customWidth="1"/>
    <col min="7" max="7" width="10.140625" customWidth="1"/>
    <col min="8" max="8" width="11.42578125" customWidth="1"/>
    <col min="9" max="9" width="10.5703125" customWidth="1"/>
    <col min="10" max="208" width="8.7109375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6" t="s">
        <v>10</v>
      </c>
      <c r="L1" s="4" t="s">
        <v>11</v>
      </c>
    </row>
    <row r="2" spans="1:13" ht="14.25" customHeight="1" x14ac:dyDescent="0.25">
      <c r="A2" s="7" t="s">
        <v>12</v>
      </c>
      <c r="B2" s="8"/>
      <c r="C2" s="9"/>
      <c r="D2" s="9"/>
      <c r="E2" s="10"/>
      <c r="F2" s="11">
        <f t="shared" ref="F2:J2" si="0">SUM(F17:F206)</f>
        <v>175</v>
      </c>
      <c r="G2" s="12">
        <f t="shared" si="0"/>
        <v>0</v>
      </c>
      <c r="H2" s="13">
        <f t="shared" si="0"/>
        <v>0.66016874631093325</v>
      </c>
      <c r="I2" s="13">
        <f t="shared" si="0"/>
        <v>0.96732634235274495</v>
      </c>
      <c r="J2" s="13">
        <f t="shared" si="0"/>
        <v>-0.3071575960418112</v>
      </c>
      <c r="K2" s="14"/>
      <c r="L2" s="14"/>
    </row>
    <row r="3" spans="1:13" ht="14.25" customHeight="1" x14ac:dyDescent="0.25">
      <c r="A3" s="15" t="str">
        <f>'[1]ALC-Master'!A2</f>
        <v xml:space="preserve">SIWMF Submission </v>
      </c>
      <c r="B3" s="16"/>
      <c r="C3" s="2"/>
      <c r="D3" s="2"/>
      <c r="E3" s="3"/>
      <c r="F3" s="3"/>
      <c r="G3" s="17"/>
      <c r="H3" s="17"/>
      <c r="I3" s="17"/>
      <c r="J3" s="18"/>
      <c r="K3" s="18"/>
      <c r="L3" s="18"/>
    </row>
    <row r="4" spans="1:13" ht="14.25" customHeight="1" x14ac:dyDescent="0.25">
      <c r="A4" s="15"/>
      <c r="B4" s="16"/>
      <c r="C4" s="2"/>
      <c r="D4" s="2"/>
      <c r="E4" s="3"/>
      <c r="F4" s="3"/>
      <c r="G4" s="17"/>
      <c r="H4" s="17"/>
      <c r="I4" s="17"/>
      <c r="J4" s="18"/>
      <c r="K4" s="18"/>
      <c r="L4" s="18"/>
    </row>
    <row r="5" spans="1:13" ht="14.25" customHeight="1" x14ac:dyDescent="0.25">
      <c r="A5" s="15"/>
      <c r="B5" s="16"/>
      <c r="C5" s="2"/>
      <c r="D5" s="2"/>
      <c r="E5" s="3"/>
      <c r="F5" s="3"/>
      <c r="G5" s="17"/>
      <c r="H5" s="17"/>
      <c r="I5" s="17"/>
      <c r="J5" s="18"/>
      <c r="K5" s="18"/>
      <c r="L5" s="18"/>
    </row>
    <row r="6" spans="1:13" ht="14.25" customHeight="1" x14ac:dyDescent="0.25">
      <c r="A6" s="15"/>
      <c r="B6" s="16"/>
      <c r="C6" s="2"/>
      <c r="D6" s="2"/>
      <c r="E6" s="3"/>
      <c r="F6" s="3"/>
      <c r="G6" s="18"/>
      <c r="H6" s="17"/>
      <c r="I6" s="17"/>
      <c r="J6" s="18"/>
      <c r="K6" s="18"/>
      <c r="L6" s="18"/>
    </row>
    <row r="7" spans="1:13" ht="14.25" customHeight="1" x14ac:dyDescent="0.25">
      <c r="A7" s="19">
        <f>'[1]ALC-Master'!A7</f>
        <v>0</v>
      </c>
      <c r="B7" s="19" t="str">
        <f>'[1]ALC-Master'!C7</f>
        <v>SIWMF Baseline</v>
      </c>
      <c r="C7" s="20"/>
      <c r="D7" s="21"/>
      <c r="E7" s="22"/>
      <c r="F7" s="23"/>
      <c r="G7" s="23"/>
      <c r="H7" s="17"/>
      <c r="I7" s="17"/>
      <c r="J7" s="17"/>
      <c r="K7" s="18"/>
      <c r="L7" s="18"/>
      <c r="M7" s="24"/>
    </row>
    <row r="8" spans="1:13" ht="14.25" customHeight="1" x14ac:dyDescent="0.25">
      <c r="A8" s="25" t="str">
        <f>'[1]ALC-Master'!A8</f>
        <v>A1000</v>
      </c>
      <c r="B8" s="25" t="str">
        <f>'[1]ALC-Master'!C8</f>
        <v>Contract Award</v>
      </c>
      <c r="C8" s="20">
        <f>[1]ALC!G8</f>
        <v>1.531554321134245E-4</v>
      </c>
      <c r="D8" s="21">
        <f>[1]ALC!D8</f>
        <v>44264</v>
      </c>
      <c r="E8" s="22">
        <f>[1]ALC!E8</f>
        <v>44264</v>
      </c>
      <c r="F8" s="23">
        <v>1</v>
      </c>
      <c r="G8" s="23" t="str">
        <f t="shared" ref="G8:G15" si="1">K8</f>
        <v>100%</v>
      </c>
      <c r="H8" s="17">
        <f t="shared" ref="H8:H15" si="2">(G8/F8)*C8</f>
        <v>1.531554321134245E-4</v>
      </c>
      <c r="I8" s="17">
        <v>1.531554321134245E-4</v>
      </c>
      <c r="J8" s="17">
        <f t="shared" ref="J8:J15" si="3">H8-I8</f>
        <v>0</v>
      </c>
      <c r="K8" s="26" t="str">
        <f>VLOOKUP(A8,'[1]MS Progress'!$A:$Q,6,FALSE)</f>
        <v>100%</v>
      </c>
      <c r="L8" s="18"/>
      <c r="M8" s="24"/>
    </row>
    <row r="9" spans="1:13" ht="14.25" customHeight="1" x14ac:dyDescent="0.25">
      <c r="A9" s="25" t="str">
        <f>'[1]ALC-Master'!A9</f>
        <v>A1020.14</v>
      </c>
      <c r="B9" s="25" t="str">
        <f>'[1]ALC-Master'!C9</f>
        <v>Detailed Design for weighbridge MD2/AD2 Review and Acceptance by SO</v>
      </c>
      <c r="C9" s="20">
        <f>[1]ALC!G9</f>
        <v>0</v>
      </c>
      <c r="D9" s="21">
        <f>[1]ALC!D9</f>
        <v>44582</v>
      </c>
      <c r="E9" s="22">
        <f>[1]ALC!E9</f>
        <v>44582</v>
      </c>
      <c r="F9" s="23">
        <v>1</v>
      </c>
      <c r="G9" s="23" t="str">
        <f t="shared" si="1"/>
        <v>100%</v>
      </c>
      <c r="H9" s="17">
        <f t="shared" si="2"/>
        <v>0</v>
      </c>
      <c r="I9" s="17">
        <v>0</v>
      </c>
      <c r="J9" s="17">
        <f t="shared" si="3"/>
        <v>0</v>
      </c>
      <c r="K9" s="26" t="str">
        <f>VLOOKUP(A9,'[1]MS Progress'!$A:$Q,6,FALSE)</f>
        <v>100%</v>
      </c>
      <c r="L9" s="18"/>
    </row>
    <row r="10" spans="1:13" ht="14.25" customHeight="1" x14ac:dyDescent="0.25">
      <c r="A10" s="25" t="str">
        <f>'[1]ALC-Master'!A10</f>
        <v>A1070.F.05</v>
      </c>
      <c r="B10" s="25" t="str">
        <f>'[1]ALC-Master'!C10</f>
        <v>Successful Completion of Factory acceptance Test(FAT)</v>
      </c>
      <c r="C10" s="20">
        <f>[1]ALC!G10</f>
        <v>0</v>
      </c>
      <c r="D10" s="21">
        <f>[1]ALC!D10</f>
        <v>45223</v>
      </c>
      <c r="E10" s="22">
        <f>[1]ALC!E10</f>
        <v>45223</v>
      </c>
      <c r="F10" s="23">
        <v>1</v>
      </c>
      <c r="G10" s="23" t="str">
        <f t="shared" si="1"/>
        <v>0%</v>
      </c>
      <c r="H10" s="17">
        <f t="shared" si="2"/>
        <v>0</v>
      </c>
      <c r="I10" s="17">
        <v>0</v>
      </c>
      <c r="J10" s="17">
        <f t="shared" si="3"/>
        <v>0</v>
      </c>
      <c r="K10" s="26" t="str">
        <f>VLOOKUP(A10,'[1]MS Progress'!$A:$Q,6,FALSE)</f>
        <v>0%</v>
      </c>
      <c r="L10" s="18"/>
    </row>
    <row r="11" spans="1:13" ht="14.25" customHeight="1" x14ac:dyDescent="0.25">
      <c r="A11" s="25" t="str">
        <f>'[1]ALC-Master'!A11</f>
        <v>A1080.D.06</v>
      </c>
      <c r="B11" s="25" t="str">
        <f>'[1]ALC-Master'!C11</f>
        <v>Time for Delivery of Weighbridge System</v>
      </c>
      <c r="C11" s="20">
        <f>[1]ALC!G11</f>
        <v>0</v>
      </c>
      <c r="D11" s="21">
        <f>[1]ALC!D11</f>
        <v>45293</v>
      </c>
      <c r="E11" s="22">
        <f>[1]ALC!E11</f>
        <v>45293</v>
      </c>
      <c r="F11" s="23">
        <v>1</v>
      </c>
      <c r="G11" s="23" t="str">
        <f t="shared" si="1"/>
        <v>0%</v>
      </c>
      <c r="H11" s="17">
        <f t="shared" si="2"/>
        <v>0</v>
      </c>
      <c r="I11" s="17">
        <v>0</v>
      </c>
      <c r="J11" s="17">
        <f t="shared" si="3"/>
        <v>0</v>
      </c>
      <c r="K11" s="26" t="str">
        <f>VLOOKUP(A11,'[1]MS Progress'!$A:$Q,6,FALSE)</f>
        <v>0%</v>
      </c>
      <c r="L11" s="18"/>
    </row>
    <row r="12" spans="1:13" ht="14.25" customHeight="1" x14ac:dyDescent="0.25">
      <c r="A12" s="25" t="str">
        <f>'[1]ALC-Master'!A12</f>
        <v>A1090.I.22</v>
      </c>
      <c r="B12" s="25" t="str">
        <f>'[1]ALC-Master'!C12</f>
        <v>Completion of Weighbridge Mechanical , EIAC and Zonal Detection System</v>
      </c>
      <c r="C12" s="20">
        <f>[1]ALC!G12</f>
        <v>0</v>
      </c>
      <c r="D12" s="21">
        <f>[1]ALC!D12</f>
        <v>45427</v>
      </c>
      <c r="E12" s="22">
        <f>[1]ALC!E12</f>
        <v>45427</v>
      </c>
      <c r="F12" s="23">
        <v>1</v>
      </c>
      <c r="G12" s="23" t="str">
        <f t="shared" si="1"/>
        <v>0%</v>
      </c>
      <c r="H12" s="17">
        <f t="shared" si="2"/>
        <v>0</v>
      </c>
      <c r="I12" s="17">
        <v>0</v>
      </c>
      <c r="J12" s="17">
        <f t="shared" si="3"/>
        <v>0</v>
      </c>
      <c r="K12" s="26" t="str">
        <f>VLOOKUP(A12,'[1]MS Progress'!$A:$Q,6,FALSE)</f>
        <v>0%</v>
      </c>
      <c r="L12" s="18"/>
    </row>
    <row r="13" spans="1:13" ht="14.25" customHeight="1" x14ac:dyDescent="0.25">
      <c r="A13" s="25" t="str">
        <f>'[1]ALC-Master'!A13</f>
        <v>A1110.S.04</v>
      </c>
      <c r="B13" s="25" t="str">
        <f>'[1]ALC-Master'!C13</f>
        <v>Successful SAT of Weighbridge system</v>
      </c>
      <c r="C13" s="20">
        <f>[1]ALC!G13</f>
        <v>0</v>
      </c>
      <c r="D13" s="21">
        <f>[1]ALC!D13</f>
        <v>45504</v>
      </c>
      <c r="E13" s="22">
        <f>[1]ALC!E13</f>
        <v>45504</v>
      </c>
      <c r="F13" s="23">
        <v>1</v>
      </c>
      <c r="G13" s="23" t="str">
        <f t="shared" si="1"/>
        <v>0%</v>
      </c>
      <c r="H13" s="17">
        <f t="shared" si="2"/>
        <v>0</v>
      </c>
      <c r="I13" s="18">
        <v>0</v>
      </c>
      <c r="J13" s="17">
        <f t="shared" si="3"/>
        <v>0</v>
      </c>
      <c r="K13" s="26" t="str">
        <f>VLOOKUP(A13,'[1]MS Progress'!$A:$Q,6,FALSE)</f>
        <v>0%</v>
      </c>
      <c r="L13" s="18"/>
    </row>
    <row r="14" spans="1:13" ht="14.25" customHeight="1" x14ac:dyDescent="0.25">
      <c r="A14" s="25" t="str">
        <f>'[1]ALC-Master'!A14</f>
        <v>A1130.15</v>
      </c>
      <c r="B14" s="25" t="str">
        <f>'[1]ALC-Master'!C14</f>
        <v>Successful Completion of Trial Operation</v>
      </c>
      <c r="C14" s="20">
        <f>[1]ALC!G14</f>
        <v>0</v>
      </c>
      <c r="D14" s="21">
        <f>[1]ALC!D14</f>
        <v>45847</v>
      </c>
      <c r="E14" s="22">
        <f>[1]ALC!E14</f>
        <v>45847</v>
      </c>
      <c r="F14" s="23">
        <v>1</v>
      </c>
      <c r="G14" s="23" t="str">
        <f t="shared" si="1"/>
        <v>0%</v>
      </c>
      <c r="H14" s="17">
        <f t="shared" si="2"/>
        <v>0</v>
      </c>
      <c r="I14" s="17">
        <v>0</v>
      </c>
      <c r="J14" s="17">
        <f t="shared" si="3"/>
        <v>0</v>
      </c>
      <c r="K14" s="26" t="str">
        <f>VLOOKUP(A14,'[1]MS Progress'!$A:$Q,6,FALSE)</f>
        <v>0%</v>
      </c>
      <c r="L14" s="18"/>
    </row>
    <row r="15" spans="1:13" ht="14.25" customHeight="1" x14ac:dyDescent="0.25">
      <c r="A15" s="25" t="str">
        <f>'[1]ALC-Master'!A15</f>
        <v>A1160</v>
      </c>
      <c r="B15" s="25" t="str">
        <f>'[1]ALC-Master'!C15</f>
        <v>Completion of the whole of the Sub-Contract Works</v>
      </c>
      <c r="C15" s="20">
        <f>[1]ALC!G15</f>
        <v>0</v>
      </c>
      <c r="D15" s="21">
        <f>[1]ALC!D15</f>
        <v>45937</v>
      </c>
      <c r="E15" s="22">
        <f>[1]ALC!E15</f>
        <v>45937</v>
      </c>
      <c r="F15" s="23">
        <v>1</v>
      </c>
      <c r="G15" s="23" t="str">
        <f t="shared" si="1"/>
        <v>0%</v>
      </c>
      <c r="H15" s="17">
        <f t="shared" si="2"/>
        <v>0</v>
      </c>
      <c r="I15" s="17">
        <v>0</v>
      </c>
      <c r="J15" s="17">
        <f t="shared" si="3"/>
        <v>0</v>
      </c>
      <c r="K15" s="26" t="str">
        <f>VLOOKUP(A15,'[1]MS Progress'!$A:$Q,6,FALSE)</f>
        <v>0%</v>
      </c>
      <c r="L15" s="18"/>
    </row>
    <row r="16" spans="1:13" ht="14.25" customHeight="1" x14ac:dyDescent="0.25">
      <c r="A16" s="19">
        <f>'[1]ALC-Master'!A16</f>
        <v>0</v>
      </c>
      <c r="B16" s="19" t="str">
        <f>'[1]ALC-Master'!C16</f>
        <v>Process Engineering (Detailed Design Milestone)</v>
      </c>
      <c r="C16" s="27"/>
      <c r="D16" s="28"/>
      <c r="E16" s="29"/>
      <c r="F16" s="30"/>
      <c r="G16" s="30"/>
      <c r="H16" s="31"/>
      <c r="I16" s="31"/>
      <c r="J16" s="31"/>
      <c r="K16" s="32"/>
      <c r="L16" s="32"/>
    </row>
    <row r="17" spans="1:12" ht="14.25" customHeight="1" x14ac:dyDescent="0.25">
      <c r="A17" s="25" t="str">
        <f>'[1]ALC-Master'!A17</f>
        <v>A1010</v>
      </c>
      <c r="B17" s="25" t="str">
        <f>'[1]ALC-Master'!C17</f>
        <v>MD1 AD1 Preparation, Submission, Review &amp; Acceptance</v>
      </c>
      <c r="C17" s="20">
        <f>[1]ALC!G17</f>
        <v>1.8361443378092578E-3</v>
      </c>
      <c r="D17" s="21">
        <f>[1]ALC!D17</f>
        <v>44274</v>
      </c>
      <c r="E17" s="22">
        <f>[1]ALC!E17</f>
        <v>44289</v>
      </c>
      <c r="F17" s="23">
        <v>1</v>
      </c>
      <c r="G17" s="23" t="str">
        <f>K17</f>
        <v>100%</v>
      </c>
      <c r="H17" s="17">
        <f>(G17/F17)*C17</f>
        <v>1.8361443378092578E-3</v>
      </c>
      <c r="I17" s="17">
        <v>1.8361443378092578E-3</v>
      </c>
      <c r="J17" s="17">
        <f>H17-I17</f>
        <v>0</v>
      </c>
      <c r="K17" s="26" t="str">
        <f>VLOOKUP(A17,'[1]MS Progress'!$A:$Q,6,FALSE)</f>
        <v>100%</v>
      </c>
      <c r="L17" s="18"/>
    </row>
    <row r="18" spans="1:12" ht="14.25" customHeight="1" x14ac:dyDescent="0.25">
      <c r="A18" s="25" t="str">
        <f>'[1]ALC-Master'!A18</f>
        <v>A1020</v>
      </c>
      <c r="B18" s="25" t="str">
        <f>'[1]ALC-Master'!C18</f>
        <v>MD2 ED1 AD2 Preparation, Submission, Review &amp; Acceptance</v>
      </c>
      <c r="C18" s="20"/>
      <c r="D18" s="21"/>
      <c r="E18" s="22"/>
      <c r="F18" s="23"/>
      <c r="G18" s="23"/>
      <c r="H18" s="17"/>
      <c r="I18" s="17"/>
      <c r="J18" s="17"/>
      <c r="K18" s="18"/>
      <c r="L18" s="18"/>
    </row>
    <row r="19" spans="1:12" ht="14.25" customHeight="1" x14ac:dyDescent="0.25">
      <c r="A19" s="25" t="str">
        <f>'[1]ALC-Master'!A19</f>
        <v>A1020.1</v>
      </c>
      <c r="B19" s="25" t="str">
        <f>'[1]ALC-Master'!C19</f>
        <v>MD2 Weighbridge System Package (Rev 0a) Preparation by ALC</v>
      </c>
      <c r="C19" s="20">
        <f>[1]ALC!G19</f>
        <v>9.7899017223963148E-3</v>
      </c>
      <c r="D19" s="21">
        <f>[1]ALC!D19</f>
        <v>44293</v>
      </c>
      <c r="E19" s="22">
        <f>[1]ALC!E19</f>
        <v>44363</v>
      </c>
      <c r="F19" s="23">
        <v>1</v>
      </c>
      <c r="G19" s="23" t="str">
        <f t="shared" ref="G19:G47" si="4">K19</f>
        <v>100%</v>
      </c>
      <c r="H19" s="17">
        <f t="shared" ref="H19:H47" si="5">(G19/F19)*C19</f>
        <v>9.7899017223963148E-3</v>
      </c>
      <c r="I19" s="17">
        <v>9.7899017223963148E-3</v>
      </c>
      <c r="J19" s="17">
        <f t="shared" ref="J19:J47" si="6">H19-I19</f>
        <v>0</v>
      </c>
      <c r="K19" s="26" t="str">
        <f>VLOOKUP(A19,'[1]MS Progress'!$A:$Q,6,FALSE)</f>
        <v>100%</v>
      </c>
      <c r="L19" s="18"/>
    </row>
    <row r="20" spans="1:12" ht="14.25" customHeight="1" x14ac:dyDescent="0.25">
      <c r="A20" s="25" t="str">
        <f>'[1]ALC-Master'!A20</f>
        <v>A1020.2</v>
      </c>
      <c r="B20" s="25" t="str">
        <f>'[1]ALC-Master'!C20</f>
        <v>MD2 Weighbridge System Package (Rev 0a) Submission to KSPL</v>
      </c>
      <c r="C20" s="20">
        <f>[1]ALC!G20</f>
        <v>1.7208475518362302E-4</v>
      </c>
      <c r="D20" s="21">
        <f>[1]ALC!D20</f>
        <v>44364</v>
      </c>
      <c r="E20" s="22">
        <f>[1]ALC!E20</f>
        <v>44364</v>
      </c>
      <c r="F20" s="23">
        <v>1</v>
      </c>
      <c r="G20" s="23" t="str">
        <f t="shared" si="4"/>
        <v>100%</v>
      </c>
      <c r="H20" s="17">
        <f t="shared" si="5"/>
        <v>1.7208475518362302E-4</v>
      </c>
      <c r="I20" s="17">
        <v>1.7208475518362302E-4</v>
      </c>
      <c r="J20" s="17">
        <f t="shared" si="6"/>
        <v>0</v>
      </c>
      <c r="K20" s="26" t="str">
        <f>VLOOKUP(A20,'[1]MS Progress'!$A:$Q,6,FALSE)</f>
        <v>100%</v>
      </c>
      <c r="L20" s="18"/>
    </row>
    <row r="21" spans="1:12" ht="14.25" customHeight="1" x14ac:dyDescent="0.25">
      <c r="A21" s="25" t="str">
        <f>'[1]ALC-Master'!A21</f>
        <v>A1020.3</v>
      </c>
      <c r="B21" s="25" t="str">
        <f>'[1]ALC-Master'!C21</f>
        <v>MD2 Weighbridge System Package (Rev 0a) Review (1st Round)</v>
      </c>
      <c r="C21" s="20">
        <f>[1]ALC!G21</f>
        <v>1.2045932862853612E-3</v>
      </c>
      <c r="D21" s="21">
        <f>[1]ALC!D21</f>
        <v>44365</v>
      </c>
      <c r="E21" s="22">
        <f>[1]ALC!E21</f>
        <v>44372</v>
      </c>
      <c r="F21" s="23">
        <v>1</v>
      </c>
      <c r="G21" s="23" t="str">
        <f t="shared" si="4"/>
        <v>100%</v>
      </c>
      <c r="H21" s="17">
        <f t="shared" si="5"/>
        <v>1.2045932862853612E-3</v>
      </c>
      <c r="I21" s="17">
        <v>1.2045932862853612E-3</v>
      </c>
      <c r="J21" s="17">
        <f t="shared" si="6"/>
        <v>0</v>
      </c>
      <c r="K21" s="26" t="str">
        <f>VLOOKUP(A21,'[1]MS Progress'!$A:$Q,6,FALSE)</f>
        <v>100%</v>
      </c>
      <c r="L21" s="23"/>
    </row>
    <row r="22" spans="1:12" ht="14.25" customHeight="1" x14ac:dyDescent="0.25">
      <c r="A22" s="25" t="str">
        <f>'[1]ALC-Master'!A22</f>
        <v>A1020.4</v>
      </c>
      <c r="B22" s="25" t="str">
        <f>'[1]ALC-Master'!C22</f>
        <v>MD2 Weighbridge System Package (Rev 0a) ALC Ammendment (1st Round)</v>
      </c>
      <c r="C22" s="20">
        <f>[1]ALC!G22</f>
        <v>3.6327091819262822E-3</v>
      </c>
      <c r="D22" s="21">
        <f>[1]ALC!D22</f>
        <v>44373</v>
      </c>
      <c r="E22" s="22">
        <f>[1]ALC!E22</f>
        <v>44398</v>
      </c>
      <c r="F22" s="23">
        <v>1</v>
      </c>
      <c r="G22" s="23" t="str">
        <f t="shared" si="4"/>
        <v>100%</v>
      </c>
      <c r="H22" s="17">
        <f t="shared" si="5"/>
        <v>3.6327091819262822E-3</v>
      </c>
      <c r="I22" s="17">
        <v>3.6327091819262822E-3</v>
      </c>
      <c r="J22" s="17">
        <f t="shared" si="6"/>
        <v>0</v>
      </c>
      <c r="K22" s="26" t="str">
        <f>VLOOKUP(A22,'[1]MS Progress'!$A:$Q,6,FALSE)</f>
        <v>100%</v>
      </c>
      <c r="L22" s="18"/>
    </row>
    <row r="23" spans="1:12" ht="14.25" customHeight="1" x14ac:dyDescent="0.25">
      <c r="A23" s="25" t="str">
        <f>'[1]ALC-Master'!A23</f>
        <v>A1020.5</v>
      </c>
      <c r="B23" s="25" t="str">
        <f>'[1]ALC-Master'!C23</f>
        <v>MD2 Weighbridge System Package (Rev 0b) Review (2nd Round)</v>
      </c>
      <c r="C23" s="20">
        <f>[1]ALC!G23</f>
        <v>5.3518358862106763E-4</v>
      </c>
      <c r="D23" s="21">
        <f>[1]ALC!D23</f>
        <v>44399</v>
      </c>
      <c r="E23" s="22">
        <f>[1]ALC!E23</f>
        <v>44403</v>
      </c>
      <c r="F23" s="23">
        <v>1</v>
      </c>
      <c r="G23" s="23" t="str">
        <f t="shared" si="4"/>
        <v>100%</v>
      </c>
      <c r="H23" s="17">
        <f t="shared" si="5"/>
        <v>5.3518358862106763E-4</v>
      </c>
      <c r="I23" s="17">
        <v>5.3518358862106763E-4</v>
      </c>
      <c r="J23" s="17">
        <f t="shared" si="6"/>
        <v>0</v>
      </c>
      <c r="K23" s="26" t="str">
        <f>VLOOKUP(A23,'[1]MS Progress'!$A:$Q,6,FALSE)</f>
        <v>100%</v>
      </c>
      <c r="L23" s="18"/>
    </row>
    <row r="24" spans="1:12" ht="14.25" customHeight="1" x14ac:dyDescent="0.25">
      <c r="A24" s="25" t="str">
        <f>'[1]ALC-Master'!A24</f>
        <v>A1020.6</v>
      </c>
      <c r="B24" s="25" t="str">
        <f>'[1]ALC-Master'!C24</f>
        <v>MD2 Weighbridge System Package (Rev 0b) ALC Ammendment (2nd Round)</v>
      </c>
      <c r="C24" s="20">
        <f>[1]ALC!G24</f>
        <v>1.9101407825382159E-4</v>
      </c>
      <c r="D24" s="21">
        <f>[1]ALC!D24</f>
        <v>44405</v>
      </c>
      <c r="E24" s="22">
        <f>[1]ALC!E24</f>
        <v>44406</v>
      </c>
      <c r="F24" s="23">
        <v>1</v>
      </c>
      <c r="G24" s="23" t="str">
        <f t="shared" si="4"/>
        <v>100%</v>
      </c>
      <c r="H24" s="17">
        <f t="shared" si="5"/>
        <v>1.9101407825382159E-4</v>
      </c>
      <c r="I24" s="17">
        <v>1.9101407825382159E-4</v>
      </c>
      <c r="J24" s="17">
        <f t="shared" si="6"/>
        <v>0</v>
      </c>
      <c r="K24" s="26" t="str">
        <f>VLOOKUP(A24,'[1]MS Progress'!$A:$Q,6,FALSE)</f>
        <v>100%</v>
      </c>
      <c r="L24" s="18"/>
    </row>
    <row r="25" spans="1:12" ht="14.25" customHeight="1" x14ac:dyDescent="0.25">
      <c r="A25" s="25" t="str">
        <f>'[1]ALC-Master'!A25</f>
        <v>A1020.7</v>
      </c>
      <c r="B25" s="25" t="str">
        <f>'[1]ALC-Master'!C25</f>
        <v>MD2 Weighbridge System Package (Rev 0) Review by SO/ NEA</v>
      </c>
      <c r="C25" s="20">
        <f>[1]ALC!G25</f>
        <v>1.3766780414689842E-3</v>
      </c>
      <c r="D25" s="21">
        <f>[1]ALC!D25</f>
        <v>44407</v>
      </c>
      <c r="E25" s="22">
        <f>[1]ALC!E25</f>
        <v>44416</v>
      </c>
      <c r="F25" s="23">
        <v>1</v>
      </c>
      <c r="G25" s="23" t="str">
        <f t="shared" si="4"/>
        <v>100%</v>
      </c>
      <c r="H25" s="17">
        <f t="shared" si="5"/>
        <v>1.3766780414689842E-3</v>
      </c>
      <c r="I25" s="17">
        <v>1.3766780414689842E-3</v>
      </c>
      <c r="J25" s="17">
        <f t="shared" si="6"/>
        <v>0</v>
      </c>
      <c r="K25" s="26" t="str">
        <f>VLOOKUP(A25,'[1]MS Progress'!$A:$Q,6,FALSE)</f>
        <v>100%</v>
      </c>
      <c r="L25" s="18"/>
    </row>
    <row r="26" spans="1:12" ht="14.25" customHeight="1" x14ac:dyDescent="0.25">
      <c r="A26" s="25" t="str">
        <f>'[1]ALC-Master'!A26</f>
        <v>A1020.1</v>
      </c>
      <c r="B26" s="25" t="str">
        <f>'[1]ALC-Master'!C26</f>
        <v>ED1 AD2 Weighbridge System Package (Rev 0a) Preparation by ALC</v>
      </c>
      <c r="C26" s="20">
        <f>[1]ALC!G26</f>
        <v>1.0994495008681675E-2</v>
      </c>
      <c r="D26" s="21">
        <f>[1]ALC!D26</f>
        <v>44293</v>
      </c>
      <c r="E26" s="22">
        <f>[1]ALC!E26</f>
        <v>44371</v>
      </c>
      <c r="F26" s="23">
        <v>1</v>
      </c>
      <c r="G26" s="23" t="str">
        <f t="shared" si="4"/>
        <v>100%</v>
      </c>
      <c r="H26" s="17">
        <f t="shared" si="5"/>
        <v>1.0994495008681675E-2</v>
      </c>
      <c r="I26" s="17">
        <v>1.0994495008681675E-2</v>
      </c>
      <c r="J26" s="17">
        <f t="shared" si="6"/>
        <v>0</v>
      </c>
      <c r="K26" s="26" t="str">
        <f>VLOOKUP(A26,'[1]MS Progress'!$A:$Q,6,FALSE)</f>
        <v>100%</v>
      </c>
      <c r="L26" s="18"/>
    </row>
    <row r="27" spans="1:12" ht="14.25" customHeight="1" x14ac:dyDescent="0.25">
      <c r="A27" s="25" t="str">
        <f>'[1]ALC-Master'!A27</f>
        <v>A1020.2</v>
      </c>
      <c r="B27" s="25" t="str">
        <f>'[1]ALC-Master'!C27</f>
        <v>ED1 AD2 Weighbridge System Package (Rev 0a) Submission to KSPL</v>
      </c>
      <c r="C27" s="20">
        <f>[1]ALC!G27</f>
        <v>1.7208475518362302E-4</v>
      </c>
      <c r="D27" s="21">
        <f>[1]ALC!D27</f>
        <v>44372</v>
      </c>
      <c r="E27" s="22">
        <f>[1]ALC!E27</f>
        <v>44372</v>
      </c>
      <c r="F27" s="23">
        <v>1</v>
      </c>
      <c r="G27" s="23" t="str">
        <f t="shared" si="4"/>
        <v>100%</v>
      </c>
      <c r="H27" s="17">
        <f t="shared" si="5"/>
        <v>1.7208475518362302E-4</v>
      </c>
      <c r="I27" s="17">
        <v>1.7208475518362302E-4</v>
      </c>
      <c r="J27" s="17">
        <f t="shared" si="6"/>
        <v>0</v>
      </c>
      <c r="K27" s="26" t="str">
        <f>VLOOKUP(A27,'[1]MS Progress'!$A:$Q,6,FALSE)</f>
        <v>100%</v>
      </c>
      <c r="L27" s="18"/>
    </row>
    <row r="28" spans="1:12" ht="14.25" customHeight="1" x14ac:dyDescent="0.25">
      <c r="A28" s="25" t="str">
        <f>'[1]ALC-Master'!A28</f>
        <v>A1020.3</v>
      </c>
      <c r="B28" s="25" t="str">
        <f>'[1]ALC-Master'!C28</f>
        <v>ED1 AD2 Weighbridge System Package (Rev 0a) Review (1st Round)</v>
      </c>
      <c r="C28" s="20">
        <f>[1]ALC!G28</f>
        <v>1.0514378541719369E-3</v>
      </c>
      <c r="D28" s="21">
        <f>[1]ALC!D28</f>
        <v>44372</v>
      </c>
      <c r="E28" s="22">
        <f>[1]ALC!E28</f>
        <v>44379</v>
      </c>
      <c r="F28" s="23">
        <v>1</v>
      </c>
      <c r="G28" s="23" t="str">
        <f t="shared" si="4"/>
        <v>100%</v>
      </c>
      <c r="H28" s="17">
        <f t="shared" si="5"/>
        <v>1.0514378541719369E-3</v>
      </c>
      <c r="I28" s="17">
        <v>1.0514378541719369E-3</v>
      </c>
      <c r="J28" s="17">
        <f t="shared" si="6"/>
        <v>0</v>
      </c>
      <c r="K28" s="26" t="str">
        <f>VLOOKUP(A28,'[1]MS Progress'!$A:$Q,6,FALSE)</f>
        <v>100%</v>
      </c>
      <c r="L28" s="18"/>
    </row>
    <row r="29" spans="1:12" ht="14.25" customHeight="1" x14ac:dyDescent="0.25">
      <c r="A29" s="25" t="str">
        <f>'[1]ALC-Master'!A29</f>
        <v>A1020.4</v>
      </c>
      <c r="B29" s="25" t="str">
        <f>'[1]ALC-Master'!C29</f>
        <v>ED1 AD2 Weighbridge System Package (Rev 0a) ALC Ammendment (1st Round)</v>
      </c>
      <c r="C29" s="20">
        <f>[1]ALC!G29</f>
        <v>2.0460877391332778E-3</v>
      </c>
      <c r="D29" s="21">
        <f>[1]ALC!D29</f>
        <v>44380</v>
      </c>
      <c r="E29" s="22">
        <f>[1]ALC!E29</f>
        <v>44393</v>
      </c>
      <c r="F29" s="23">
        <v>1</v>
      </c>
      <c r="G29" s="23" t="str">
        <f t="shared" si="4"/>
        <v>100%</v>
      </c>
      <c r="H29" s="17">
        <f t="shared" si="5"/>
        <v>2.0460877391332778E-3</v>
      </c>
      <c r="I29" s="17">
        <v>2.0460877391332778E-3</v>
      </c>
      <c r="J29" s="17">
        <f t="shared" si="6"/>
        <v>0</v>
      </c>
      <c r="K29" s="26" t="str">
        <f>VLOOKUP(A29,'[1]MS Progress'!$A:$Q,6,FALSE)</f>
        <v>100%</v>
      </c>
      <c r="L29" s="18"/>
    </row>
    <row r="30" spans="1:12" ht="14.25" customHeight="1" x14ac:dyDescent="0.25">
      <c r="A30" s="25" t="str">
        <f>'[1]ALC-Master'!A30</f>
        <v>A1020.5</v>
      </c>
      <c r="B30" s="25" t="str">
        <f>'[1]ALC-Master'!C30</f>
        <v>ED1 AD2 Weighbridge System Package (Rev 0b) Review (2nd Round)</v>
      </c>
      <c r="C30" s="20">
        <f>[1]ALC!G30</f>
        <v>1.3766780414689842E-3</v>
      </c>
      <c r="D30" s="21">
        <f>[1]ALC!D30</f>
        <v>44394</v>
      </c>
      <c r="E30" s="22">
        <f>[1]ALC!E30</f>
        <v>44403</v>
      </c>
      <c r="F30" s="23">
        <v>1</v>
      </c>
      <c r="G30" s="23" t="str">
        <f t="shared" si="4"/>
        <v>100%</v>
      </c>
      <c r="H30" s="17">
        <f t="shared" si="5"/>
        <v>1.3766780414689842E-3</v>
      </c>
      <c r="I30" s="17">
        <v>1.3766780414689842E-3</v>
      </c>
      <c r="J30" s="17">
        <f t="shared" si="6"/>
        <v>0</v>
      </c>
      <c r="K30" s="26" t="str">
        <f>VLOOKUP(A30,'[1]MS Progress'!$A:$Q,6,FALSE)</f>
        <v>100%</v>
      </c>
      <c r="L30" s="18"/>
    </row>
    <row r="31" spans="1:12" ht="14.25" customHeight="1" x14ac:dyDescent="0.25">
      <c r="A31" s="25" t="str">
        <f>'[1]ALC-Master'!A31</f>
        <v>A1020.6</v>
      </c>
      <c r="B31" s="25" t="str">
        <f>'[1]ALC-Master'!C31</f>
        <v>ED1 AD2 Weighbridge System Package (Rev 0b) ALC Ammendment (2nd Round)</v>
      </c>
      <c r="C31" s="20">
        <f>[1]ALC!G31</f>
        <v>6.8833902073449208E-4</v>
      </c>
      <c r="D31" s="21">
        <f>[1]ALC!D31</f>
        <v>44404</v>
      </c>
      <c r="E31" s="22">
        <f>[1]ALC!E31</f>
        <v>44407</v>
      </c>
      <c r="F31" s="23">
        <v>1</v>
      </c>
      <c r="G31" s="23" t="str">
        <f t="shared" si="4"/>
        <v>100%</v>
      </c>
      <c r="H31" s="17">
        <f t="shared" si="5"/>
        <v>6.8833902073449208E-4</v>
      </c>
      <c r="I31" s="17">
        <v>6.8833902073449208E-4</v>
      </c>
      <c r="J31" s="17">
        <f t="shared" si="6"/>
        <v>0</v>
      </c>
      <c r="K31" s="26" t="str">
        <f>VLOOKUP(A31,'[1]MS Progress'!$A:$Q,6,FALSE)</f>
        <v>100%</v>
      </c>
      <c r="L31" s="18"/>
    </row>
    <row r="32" spans="1:12" ht="14.25" customHeight="1" x14ac:dyDescent="0.25">
      <c r="A32" s="25" t="str">
        <f>'[1]ALC-Master'!A32</f>
        <v>A1020.7</v>
      </c>
      <c r="B32" s="25" t="str">
        <f>'[1]ALC-Master'!C32</f>
        <v>ED1 AD2 Weighbridge System Package (Rev 0) Review by SO/ NEA</v>
      </c>
      <c r="C32" s="20">
        <f>[1]ALC!G32</f>
        <v>3.4416951036724606E-3</v>
      </c>
      <c r="D32" s="21">
        <f>[1]ALC!D32</f>
        <v>44412</v>
      </c>
      <c r="E32" s="22">
        <f>[1]ALC!E32</f>
        <v>44435</v>
      </c>
      <c r="F32" s="23">
        <v>1</v>
      </c>
      <c r="G32" s="23" t="str">
        <f t="shared" si="4"/>
        <v>100%</v>
      </c>
      <c r="H32" s="17">
        <f t="shared" si="5"/>
        <v>3.4416951036724606E-3</v>
      </c>
      <c r="I32" s="17">
        <v>3.4416951036724606E-3</v>
      </c>
      <c r="J32" s="17">
        <f t="shared" si="6"/>
        <v>0</v>
      </c>
      <c r="K32" s="26" t="str">
        <f>VLOOKUP(A32,'[1]MS Progress'!$A:$Q,6,FALSE)</f>
        <v>100%</v>
      </c>
      <c r="L32" s="18"/>
    </row>
    <row r="33" spans="1:12" ht="14.25" customHeight="1" x14ac:dyDescent="0.25">
      <c r="A33" s="25" t="str">
        <f>'[1]ALC-Master'!A33</f>
        <v>A1020.8</v>
      </c>
      <c r="B33" s="25" t="str">
        <f>'[1]ALC-Master'!C33</f>
        <v>MD2 Weighbridge System Package (Rev 1a) Ammendment by ALC on SO Comments and Re-submission to KSPL</v>
      </c>
      <c r="C33" s="20">
        <f>[1]ALC!G33</f>
        <v>4.9904579003250682E-3</v>
      </c>
      <c r="D33" s="21">
        <f>[1]ALC!D33</f>
        <v>44436</v>
      </c>
      <c r="E33" s="22">
        <f>[1]ALC!E33</f>
        <v>44469</v>
      </c>
      <c r="F33" s="23">
        <v>1</v>
      </c>
      <c r="G33" s="23" t="str">
        <f t="shared" si="4"/>
        <v>100%</v>
      </c>
      <c r="H33" s="17">
        <f t="shared" si="5"/>
        <v>4.9904579003250682E-3</v>
      </c>
      <c r="I33" s="17">
        <v>4.9904579003250682E-3</v>
      </c>
      <c r="J33" s="17">
        <f t="shared" si="6"/>
        <v>0</v>
      </c>
      <c r="K33" s="26" t="str">
        <f>VLOOKUP(A33,'[1]MS Progress'!$A:$Q,6,FALSE)</f>
        <v>100%</v>
      </c>
      <c r="L33" s="18"/>
    </row>
    <row r="34" spans="1:12" ht="14.25" customHeight="1" x14ac:dyDescent="0.25">
      <c r="A34" s="25" t="str">
        <f>'[1]ALC-Master'!A34</f>
        <v>A1020.9</v>
      </c>
      <c r="B34" s="25" t="str">
        <f>'[1]ALC-Master'!C34</f>
        <v>MD2 Weighbridge System Package (Rev 1a) Review (1st Round)</v>
      </c>
      <c r="C34" s="20">
        <f>[1]ALC!G34</f>
        <v>2.0650170622034765E-3</v>
      </c>
      <c r="D34" s="21">
        <f>[1]ALC!D34</f>
        <v>44461</v>
      </c>
      <c r="E34" s="22">
        <f>[1]ALC!E34</f>
        <v>44474</v>
      </c>
      <c r="F34" s="23">
        <v>1</v>
      </c>
      <c r="G34" s="23" t="str">
        <f t="shared" si="4"/>
        <v>100%</v>
      </c>
      <c r="H34" s="17">
        <f t="shared" si="5"/>
        <v>2.0650170622034765E-3</v>
      </c>
      <c r="I34" s="17">
        <v>2.0650170622034765E-3</v>
      </c>
      <c r="J34" s="17">
        <f t="shared" si="6"/>
        <v>0</v>
      </c>
      <c r="K34" s="26" t="str">
        <f>VLOOKUP(A34,'[1]MS Progress'!$A:$Q,6,FALSE)</f>
        <v>100%</v>
      </c>
      <c r="L34" s="18"/>
    </row>
    <row r="35" spans="1:12" ht="14.25" customHeight="1" x14ac:dyDescent="0.25">
      <c r="A35" s="25" t="str">
        <f>'[1]ALC-Master'!A35</f>
        <v>A1020.10</v>
      </c>
      <c r="B35" s="25" t="str">
        <f>'[1]ALC-Master'!C35</f>
        <v>MD2 Weighbridge System Package (Rev 1a) ALC Ammendment (1st Round)</v>
      </c>
      <c r="C35" s="20">
        <f>[1]ALC!G35</f>
        <v>1.5487627966526073E-3</v>
      </c>
      <c r="D35" s="21">
        <f>[1]ALC!D35</f>
        <v>44475</v>
      </c>
      <c r="E35" s="22">
        <f>[1]ALC!E35</f>
        <v>44484</v>
      </c>
      <c r="F35" s="23">
        <v>1</v>
      </c>
      <c r="G35" s="23" t="str">
        <f t="shared" si="4"/>
        <v>100%</v>
      </c>
      <c r="H35" s="17">
        <f t="shared" si="5"/>
        <v>1.5487627966526073E-3</v>
      </c>
      <c r="I35" s="17">
        <v>1.5487627966526073E-3</v>
      </c>
      <c r="J35" s="17">
        <f t="shared" si="6"/>
        <v>0</v>
      </c>
      <c r="K35" s="26" t="str">
        <f>VLOOKUP(A35,'[1]MS Progress'!$A:$Q,6,FALSE)</f>
        <v>100%</v>
      </c>
      <c r="L35" s="18"/>
    </row>
    <row r="36" spans="1:12" ht="14.25" customHeight="1" x14ac:dyDescent="0.25">
      <c r="A36" s="25" t="str">
        <f>'[1]ALC-Master'!A36</f>
        <v>A1020.11</v>
      </c>
      <c r="B36" s="25" t="str">
        <f>'[1]ALC-Master'!C36</f>
        <v>MD2 Weighbridge System Package (Rev 1b) Review (2nd Round)</v>
      </c>
      <c r="C36" s="20">
        <f>[1]ALC!G36</f>
        <v>6.8833902073449208E-4</v>
      </c>
      <c r="D36" s="21">
        <f>[1]ALC!D36</f>
        <v>44485</v>
      </c>
      <c r="E36" s="22">
        <f>[1]ALC!E36</f>
        <v>44489</v>
      </c>
      <c r="F36" s="23">
        <v>1</v>
      </c>
      <c r="G36" s="23" t="str">
        <f t="shared" si="4"/>
        <v>100%</v>
      </c>
      <c r="H36" s="17">
        <f t="shared" si="5"/>
        <v>6.8833902073449208E-4</v>
      </c>
      <c r="I36" s="17">
        <v>6.8833902073449208E-4</v>
      </c>
      <c r="J36" s="17">
        <f t="shared" si="6"/>
        <v>0</v>
      </c>
      <c r="K36" s="26" t="str">
        <f>VLOOKUP(A36,'[1]MS Progress'!$A:$Q,6,FALSE)</f>
        <v>100%</v>
      </c>
      <c r="L36" s="18"/>
    </row>
    <row r="37" spans="1:12" ht="14.25" customHeight="1" x14ac:dyDescent="0.25">
      <c r="A37" s="25" t="str">
        <f>'[1]ALC-Master'!A37</f>
        <v>A1020.12</v>
      </c>
      <c r="B37" s="25" t="str">
        <f>'[1]ALC-Master'!C37</f>
        <v>MD2 Weighbridge System Package (Rev 1b) ALC Ammendment (2nd Round)</v>
      </c>
      <c r="C37" s="20">
        <f>[1]ALC!G37</f>
        <v>6.8833902073449208E-4</v>
      </c>
      <c r="D37" s="21">
        <f>[1]ALC!D37</f>
        <v>44490</v>
      </c>
      <c r="E37" s="22">
        <f>[1]ALC!E37</f>
        <v>44494</v>
      </c>
      <c r="F37" s="23">
        <v>1</v>
      </c>
      <c r="G37" s="23" t="str">
        <f t="shared" si="4"/>
        <v>100%</v>
      </c>
      <c r="H37" s="17">
        <f t="shared" si="5"/>
        <v>6.8833902073449208E-4</v>
      </c>
      <c r="I37" s="17">
        <v>6.8833902073449208E-4</v>
      </c>
      <c r="J37" s="17">
        <f t="shared" si="6"/>
        <v>0</v>
      </c>
      <c r="K37" s="26" t="str">
        <f>VLOOKUP(A37,'[1]MS Progress'!$A:$Q,6,FALSE)</f>
        <v>100%</v>
      </c>
      <c r="L37" s="18"/>
    </row>
    <row r="38" spans="1:12" ht="14.25" customHeight="1" x14ac:dyDescent="0.25">
      <c r="A38" s="25" t="str">
        <f>'[1]ALC-Master'!A38</f>
        <v>A1020.13</v>
      </c>
      <c r="B38" s="25" t="str">
        <f>'[1]ALC-Master'!C38</f>
        <v>MD2 Weighbridge System Package (Rev 1) Review by SO/ NEA(Accepted with comments , Re-submission Required)</v>
      </c>
      <c r="C38" s="20">
        <f>[1]ALC!G38</f>
        <v>1.2045932862853612E-2</v>
      </c>
      <c r="D38" s="21">
        <f>[1]ALC!D38</f>
        <v>44498</v>
      </c>
      <c r="E38" s="22">
        <f>[1]ALC!E38</f>
        <v>44582</v>
      </c>
      <c r="F38" s="23">
        <v>1</v>
      </c>
      <c r="G38" s="23" t="str">
        <f t="shared" si="4"/>
        <v>100%</v>
      </c>
      <c r="H38" s="17">
        <f t="shared" si="5"/>
        <v>1.2045932862853612E-2</v>
      </c>
      <c r="I38" s="17">
        <v>1.2045932862853612E-2</v>
      </c>
      <c r="J38" s="17">
        <f t="shared" si="6"/>
        <v>0</v>
      </c>
      <c r="K38" s="26" t="str">
        <f>VLOOKUP(A38,'[1]MS Progress'!$A:$Q,6,FALSE)</f>
        <v>100%</v>
      </c>
      <c r="L38" s="18"/>
    </row>
    <row r="39" spans="1:12" ht="14.25" customHeight="1" x14ac:dyDescent="0.25">
      <c r="A39" s="25" t="str">
        <f>'[1]ALC-Master'!A39</f>
        <v>A1020.14</v>
      </c>
      <c r="B39" s="25" t="str">
        <f>'[1]ALC-Master'!C39</f>
        <v>MD2 Weighbridge System Package (Rev XX) Review by SO/ NEA(Accepted with comments , No Re-submission Required)</v>
      </c>
      <c r="C39" s="20">
        <f>[1]ALC!G39</f>
        <v>0</v>
      </c>
      <c r="D39" s="21">
        <f>[1]ALC!D39</f>
        <v>44585</v>
      </c>
      <c r="E39" s="22">
        <f>[1]ALC!E39</f>
        <v>44956</v>
      </c>
      <c r="F39" s="23">
        <v>1</v>
      </c>
      <c r="G39" s="23" t="str">
        <f t="shared" si="4"/>
        <v>100%</v>
      </c>
      <c r="H39" s="17">
        <f t="shared" si="5"/>
        <v>0</v>
      </c>
      <c r="I39" s="17">
        <v>0</v>
      </c>
      <c r="J39" s="17">
        <f t="shared" si="6"/>
        <v>0</v>
      </c>
      <c r="K39" s="26" t="str">
        <f>VLOOKUP(A39,'[1]MS Progress'!$A:$Q,6,FALSE)</f>
        <v>100%</v>
      </c>
      <c r="L39" s="18"/>
    </row>
    <row r="40" spans="1:12" ht="14.25" customHeight="1" x14ac:dyDescent="0.25">
      <c r="A40" s="25" t="str">
        <f>'[1]ALC-Master'!A40</f>
        <v>A1020.8</v>
      </c>
      <c r="B40" s="25" t="str">
        <f>'[1]ALC-Master'!C40</f>
        <v>ED1 AD2 Weighbridge System Package (Rev 1a) Ammendment by ALC on SO Comments and Re-submission to KSPL</v>
      </c>
      <c r="C40" s="20">
        <f>[1]ALC!G40</f>
        <v>4.9904579003250682E-3</v>
      </c>
      <c r="D40" s="21">
        <f>[1]ALC!D40</f>
        <v>44436</v>
      </c>
      <c r="E40" s="22">
        <f>[1]ALC!E40</f>
        <v>44469</v>
      </c>
      <c r="F40" s="23">
        <v>1</v>
      </c>
      <c r="G40" s="23" t="str">
        <f t="shared" si="4"/>
        <v>100%</v>
      </c>
      <c r="H40" s="17">
        <f t="shared" si="5"/>
        <v>4.9904579003250682E-3</v>
      </c>
      <c r="I40" s="17">
        <v>4.9904579003250682E-3</v>
      </c>
      <c r="J40" s="17">
        <f t="shared" si="6"/>
        <v>0</v>
      </c>
      <c r="K40" s="26" t="str">
        <f>VLOOKUP(A40,'[1]MS Progress'!$A:$Q,6,FALSE)</f>
        <v>100%</v>
      </c>
      <c r="L40" s="18"/>
    </row>
    <row r="41" spans="1:12" ht="14.25" customHeight="1" x14ac:dyDescent="0.25">
      <c r="A41" s="25" t="str">
        <f>'[1]ALC-Master'!A41</f>
        <v>A1020.9</v>
      </c>
      <c r="B41" s="25" t="str">
        <f>'[1]ALC-Master'!C41</f>
        <v>ED1 AD2 Weighbridge System Package (Rev 1a) Review (1st Round)</v>
      </c>
      <c r="C41" s="20">
        <f>[1]ALC!G41</f>
        <v>1.9118616300900519E-3</v>
      </c>
      <c r="D41" s="21">
        <f>[1]ALC!D41</f>
        <v>44469</v>
      </c>
      <c r="E41" s="22">
        <f>[1]ALC!E41</f>
        <v>44483</v>
      </c>
      <c r="F41" s="23">
        <v>1</v>
      </c>
      <c r="G41" s="23" t="str">
        <f t="shared" si="4"/>
        <v>100%</v>
      </c>
      <c r="H41" s="17">
        <f t="shared" si="5"/>
        <v>1.9118616300900519E-3</v>
      </c>
      <c r="I41" s="17">
        <v>1.9118616300900519E-3</v>
      </c>
      <c r="J41" s="17">
        <f t="shared" si="6"/>
        <v>0</v>
      </c>
      <c r="K41" s="26" t="str">
        <f>VLOOKUP(A41,'[1]MS Progress'!$A:$Q,6,FALSE)</f>
        <v>100%</v>
      </c>
      <c r="L41" s="18"/>
    </row>
    <row r="42" spans="1:12" ht="14.25" customHeight="1" x14ac:dyDescent="0.25">
      <c r="A42" s="25" t="str">
        <f>'[1]ALC-Master'!A42</f>
        <v>A1020.10</v>
      </c>
      <c r="B42" s="25" t="str">
        <f>'[1]ALC-Master'!C42</f>
        <v>ED1 AD2 Weighbridge System Package (Rev 1a) ALC Ammendment (1st Round)</v>
      </c>
      <c r="C42" s="20">
        <f>[1]ALC!G42</f>
        <v>1.7208475518362303E-3</v>
      </c>
      <c r="D42" s="21">
        <f>[1]ALC!D42</f>
        <v>44483</v>
      </c>
      <c r="E42" s="22">
        <f>[1]ALC!E42</f>
        <v>44495</v>
      </c>
      <c r="F42" s="23">
        <v>1</v>
      </c>
      <c r="G42" s="23" t="str">
        <f t="shared" si="4"/>
        <v>100%</v>
      </c>
      <c r="H42" s="17">
        <f t="shared" si="5"/>
        <v>1.7208475518362303E-3</v>
      </c>
      <c r="I42" s="17">
        <v>1.7208475518362303E-3</v>
      </c>
      <c r="J42" s="17">
        <f t="shared" si="6"/>
        <v>0</v>
      </c>
      <c r="K42" s="26" t="str">
        <f>VLOOKUP(A42,'[1]MS Progress'!$A:$Q,6,FALSE)</f>
        <v>100%</v>
      </c>
      <c r="L42" s="18"/>
    </row>
    <row r="43" spans="1:12" ht="14.25" customHeight="1" x14ac:dyDescent="0.25">
      <c r="A43" s="25" t="str">
        <f>'[1]ALC-Master'!A43</f>
        <v>A1020.11</v>
      </c>
      <c r="B43" s="25" t="str">
        <f>'[1]ALC-Master'!C43</f>
        <v>ED1 AD2 Weighbridge System Package (Rev 1b) Review (2nd Round)</v>
      </c>
      <c r="C43" s="20">
        <f>[1]ALC!G43</f>
        <v>1.9101407825382159E-4</v>
      </c>
      <c r="D43" s="21">
        <f>[1]ALC!D43</f>
        <v>44495</v>
      </c>
      <c r="E43" s="22">
        <f>[1]ALC!E43</f>
        <v>44497</v>
      </c>
      <c r="F43" s="23">
        <v>1</v>
      </c>
      <c r="G43" s="23" t="str">
        <f t="shared" si="4"/>
        <v>100%</v>
      </c>
      <c r="H43" s="17">
        <f t="shared" si="5"/>
        <v>1.9101407825382159E-4</v>
      </c>
      <c r="I43" s="17">
        <v>1.9101407825382159E-4</v>
      </c>
      <c r="J43" s="17">
        <f t="shared" si="6"/>
        <v>0</v>
      </c>
      <c r="K43" s="26" t="str">
        <f>VLOOKUP(A43,'[1]MS Progress'!$A:$Q,6,FALSE)</f>
        <v>100%</v>
      </c>
      <c r="L43" s="18"/>
    </row>
    <row r="44" spans="1:12" ht="14.25" customHeight="1" x14ac:dyDescent="0.25">
      <c r="A44" s="25" t="str">
        <f>'[1]ALC-Master'!A44</f>
        <v>A1020.12</v>
      </c>
      <c r="B44" s="25" t="str">
        <f>'[1]ALC-Master'!C44</f>
        <v>ED1 AD2 Weighbridge System Package (Rev 1b) ALC Ammendment (2nd Round)</v>
      </c>
      <c r="C44" s="20">
        <f>[1]ALC!G44</f>
        <v>1.7208475518362302E-4</v>
      </c>
      <c r="D44" s="21">
        <f>[1]ALC!D44</f>
        <v>44497</v>
      </c>
      <c r="E44" s="22">
        <f>[1]ALC!E44</f>
        <v>44498</v>
      </c>
      <c r="F44" s="23">
        <v>1</v>
      </c>
      <c r="G44" s="23" t="str">
        <f t="shared" si="4"/>
        <v>100%</v>
      </c>
      <c r="H44" s="17">
        <f t="shared" si="5"/>
        <v>1.7208475518362302E-4</v>
      </c>
      <c r="I44" s="17">
        <v>1.7208475518362302E-4</v>
      </c>
      <c r="J44" s="17">
        <f t="shared" si="6"/>
        <v>0</v>
      </c>
      <c r="K44" s="26" t="str">
        <f>VLOOKUP(A44,'[1]MS Progress'!$A:$Q,6,FALSE)</f>
        <v>100%</v>
      </c>
      <c r="L44" s="18"/>
    </row>
    <row r="45" spans="1:12" ht="14.25" customHeight="1" x14ac:dyDescent="0.25">
      <c r="A45" s="25" t="str">
        <f>'[1]ALC-Master'!A45</f>
        <v>A1020.13</v>
      </c>
      <c r="B45" s="25" t="str">
        <f>'[1]ALC-Master'!C45</f>
        <v>ED1 AD2 Weighbridge System Package (Rev 1) Review by SO/ NEA</v>
      </c>
      <c r="C45" s="20">
        <f>[1]ALC!G45</f>
        <v>1.3766780414689842E-3</v>
      </c>
      <c r="D45" s="21">
        <f>[1]ALC!D45</f>
        <v>44498</v>
      </c>
      <c r="E45" s="22">
        <f>[1]ALC!E45</f>
        <v>44508</v>
      </c>
      <c r="F45" s="23">
        <v>1</v>
      </c>
      <c r="G45" s="23" t="str">
        <f t="shared" si="4"/>
        <v>100%</v>
      </c>
      <c r="H45" s="17">
        <f t="shared" si="5"/>
        <v>1.3766780414689842E-3</v>
      </c>
      <c r="I45" s="17">
        <v>1.3766780414689842E-3</v>
      </c>
      <c r="J45" s="17">
        <f t="shared" si="6"/>
        <v>0</v>
      </c>
      <c r="K45" s="26" t="str">
        <f>VLOOKUP(A45,'[1]MS Progress'!$A:$Q,6,FALSE)</f>
        <v>100%</v>
      </c>
      <c r="L45" s="18"/>
    </row>
    <row r="46" spans="1:12" ht="14.25" customHeight="1" x14ac:dyDescent="0.25">
      <c r="A46" s="25" t="str">
        <f>'[1]ALC-Master'!A46</f>
        <v>A1020.14</v>
      </c>
      <c r="B46" s="25" t="str">
        <f>'[1]ALC-Master'!C46</f>
        <v>AD2 Weighbridge System Package (Rev 1) Review by SO/ NEA(Accepted with comments , Re-submission Required)</v>
      </c>
      <c r="C46" s="20">
        <f>[1]ALC!G46</f>
        <v>1.2218017618037235E-2</v>
      </c>
      <c r="D46" s="21">
        <f>[1]ALC!D46</f>
        <v>44498</v>
      </c>
      <c r="E46" s="22">
        <f>[1]ALC!E46</f>
        <v>44583</v>
      </c>
      <c r="F46" s="23">
        <v>1</v>
      </c>
      <c r="G46" s="23" t="str">
        <f t="shared" si="4"/>
        <v>100%</v>
      </c>
      <c r="H46" s="17">
        <f t="shared" si="5"/>
        <v>1.2218017618037235E-2</v>
      </c>
      <c r="I46" s="17">
        <v>1.2218017618037235E-2</v>
      </c>
      <c r="J46" s="17">
        <f t="shared" si="6"/>
        <v>0</v>
      </c>
      <c r="K46" s="26" t="str">
        <f>VLOOKUP(A46,'[1]MS Progress'!$A:$Q,6,FALSE)</f>
        <v>100%</v>
      </c>
      <c r="L46" s="18"/>
    </row>
    <row r="47" spans="1:12" ht="14.25" customHeight="1" x14ac:dyDescent="0.25">
      <c r="A47" s="25" t="str">
        <f>'[1]ALC-Master'!A47</f>
        <v>A1020.15</v>
      </c>
      <c r="B47" s="25" t="str">
        <f>'[1]ALC-Master'!C47</f>
        <v>AD2 Weighbridge System Package (Rev XX) Review by SO/ NEA(Accepted with comments , Re-submission Required)</v>
      </c>
      <c r="C47" s="20">
        <f>[1]ALC!G47</f>
        <v>0</v>
      </c>
      <c r="D47" s="21">
        <f>[1]ALC!D47</f>
        <v>44585</v>
      </c>
      <c r="E47" s="22">
        <f>[1]ALC!E47</f>
        <v>45115</v>
      </c>
      <c r="F47" s="23">
        <v>1</v>
      </c>
      <c r="G47" s="23" t="str">
        <f t="shared" si="4"/>
        <v>100%</v>
      </c>
      <c r="H47" s="17">
        <f t="shared" si="5"/>
        <v>0</v>
      </c>
      <c r="I47" s="17">
        <v>0</v>
      </c>
      <c r="J47" s="17">
        <f t="shared" si="6"/>
        <v>0</v>
      </c>
      <c r="K47" s="26" t="str">
        <f>VLOOKUP(A47,'[1]MS Progress'!$A:$Q,6,FALSE)</f>
        <v>100%</v>
      </c>
      <c r="L47" s="18"/>
    </row>
    <row r="48" spans="1:12" ht="14.25" customHeight="1" x14ac:dyDescent="0.25">
      <c r="A48" s="25" t="str">
        <f>'[1]ALC-Master'!A48</f>
        <v>A1030</v>
      </c>
      <c r="B48" s="25" t="str">
        <f>'[1]ALC-Master'!C48</f>
        <v>MD3 ED2 ED3 AD3 Preparation, Submission, Review &amp; Acceptance</v>
      </c>
      <c r="C48" s="20"/>
      <c r="D48" s="21"/>
      <c r="E48" s="22"/>
      <c r="F48" s="23"/>
      <c r="G48" s="23"/>
      <c r="H48" s="17"/>
      <c r="I48" s="17"/>
      <c r="J48" s="17"/>
      <c r="K48" s="18"/>
      <c r="L48" s="18"/>
    </row>
    <row r="49" spans="1:12" ht="14.25" customHeight="1" x14ac:dyDescent="0.25">
      <c r="A49" s="25" t="str">
        <f>'[1]ALC-Master'!A49</f>
        <v>A1030.1</v>
      </c>
      <c r="B49" s="25" t="str">
        <f>'[1]ALC-Master'!C49</f>
        <v>MD3 Preparation, Submission, Review &amp; Acceptance</v>
      </c>
      <c r="C49" s="20"/>
      <c r="D49" s="21"/>
      <c r="E49" s="22"/>
      <c r="F49" s="23"/>
      <c r="G49" s="23"/>
      <c r="H49" s="17"/>
      <c r="I49" s="17"/>
      <c r="J49" s="17"/>
      <c r="K49" s="18"/>
      <c r="L49" s="18"/>
    </row>
    <row r="50" spans="1:12" ht="14.25" customHeight="1" x14ac:dyDescent="0.25">
      <c r="A50" s="25" t="str">
        <f>'[1]ALC-Master'!A50</f>
        <v>A1030.1</v>
      </c>
      <c r="B50" s="25" t="str">
        <f>'[1]ALC-Master'!C50</f>
        <v>MD3 Weighbridge System Package (Rev 0a) Preparation by ALC</v>
      </c>
      <c r="C50" s="20">
        <f>[1]ALC!G50</f>
        <v>1.7208475518362303E-3</v>
      </c>
      <c r="D50" s="21">
        <f>[1]ALC!D50</f>
        <v>44737</v>
      </c>
      <c r="E50" s="22">
        <f>[1]ALC!E50</f>
        <v>44748</v>
      </c>
      <c r="F50" s="23">
        <v>1</v>
      </c>
      <c r="G50" s="23" t="str">
        <f t="shared" ref="G50:G78" si="7">K50</f>
        <v>100%</v>
      </c>
      <c r="H50" s="17">
        <f t="shared" ref="H50:H78" si="8">(G50/F50)*C50</f>
        <v>1.7208475518362303E-3</v>
      </c>
      <c r="I50" s="17">
        <v>1.7208475518362303E-3</v>
      </c>
      <c r="J50" s="17">
        <f t="shared" ref="J50:J78" si="9">H50-I50</f>
        <v>0</v>
      </c>
      <c r="K50" s="26" t="str">
        <f>VLOOKUP(A50,'[1]MS Progress'!$A:$Q,6,FALSE)</f>
        <v>100%</v>
      </c>
      <c r="L50" s="18"/>
    </row>
    <row r="51" spans="1:12" ht="14.25" customHeight="1" x14ac:dyDescent="0.25">
      <c r="A51" s="25" t="str">
        <f>'[1]ALC-Master'!A51</f>
        <v>A1030.2</v>
      </c>
      <c r="B51" s="25" t="str">
        <f>'[1]ALC-Master'!C51</f>
        <v>MD3 Weighbridge System Package (Rev 0a) Submission to KSPL</v>
      </c>
      <c r="C51" s="20">
        <f>[1]ALC!G51</f>
        <v>5.1625426555086912E-4</v>
      </c>
      <c r="D51" s="21">
        <f>[1]ALC!D51</f>
        <v>44749</v>
      </c>
      <c r="E51" s="22">
        <f>[1]ALC!E51</f>
        <v>44751</v>
      </c>
      <c r="F51" s="23">
        <v>1</v>
      </c>
      <c r="G51" s="23" t="str">
        <f t="shared" si="7"/>
        <v>100%</v>
      </c>
      <c r="H51" s="17">
        <f t="shared" si="8"/>
        <v>5.1625426555086912E-4</v>
      </c>
      <c r="I51" s="17">
        <v>5.1625426555086912E-4</v>
      </c>
      <c r="J51" s="17">
        <f t="shared" si="9"/>
        <v>0</v>
      </c>
      <c r="K51" s="26" t="str">
        <f>VLOOKUP(A51,'[1]MS Progress'!$A:$Q,6,FALSE)</f>
        <v>100%</v>
      </c>
      <c r="L51" s="18"/>
    </row>
    <row r="52" spans="1:12" ht="14.25" customHeight="1" x14ac:dyDescent="0.25">
      <c r="A52" s="25" t="str">
        <f>'[1]ALC-Master'!A52</f>
        <v>A1030.3</v>
      </c>
      <c r="B52" s="25" t="str">
        <f>'[1]ALC-Master'!C52</f>
        <v>MD3 Weighbridge System Package (Rev 0a) Review (1st Round)</v>
      </c>
      <c r="C52" s="20">
        <f>[1]ALC!G52</f>
        <v>1.8929323070198533E-3</v>
      </c>
      <c r="D52" s="21">
        <f>[1]ALC!D52</f>
        <v>44754</v>
      </c>
      <c r="E52" s="22">
        <f>[1]ALC!E52</f>
        <v>44765</v>
      </c>
      <c r="F52" s="23">
        <v>1</v>
      </c>
      <c r="G52" s="23" t="str">
        <f t="shared" si="7"/>
        <v>100%</v>
      </c>
      <c r="H52" s="17">
        <f t="shared" si="8"/>
        <v>1.8929323070198533E-3</v>
      </c>
      <c r="I52" s="17">
        <v>1.8929323070198533E-3</v>
      </c>
      <c r="J52" s="17">
        <f t="shared" si="9"/>
        <v>0</v>
      </c>
      <c r="K52" s="26" t="str">
        <f>VLOOKUP(A52,'[1]MS Progress'!$A:$Q,6,FALSE)</f>
        <v>100%</v>
      </c>
      <c r="L52" s="18"/>
    </row>
    <row r="53" spans="1:12" ht="14.25" customHeight="1" x14ac:dyDescent="0.25">
      <c r="A53" s="25" t="str">
        <f>'[1]ALC-Master'!A53</f>
        <v>A1030.4</v>
      </c>
      <c r="B53" s="25" t="str">
        <f>'[1]ALC-Master'!C53</f>
        <v>MD3 Weighbridge System Package (Rev 0a) ALC Ammendment (1st Round)</v>
      </c>
      <c r="C53" s="20">
        <f>[1]ALC!G53</f>
        <v>5.1625426555086912E-4</v>
      </c>
      <c r="D53" s="21">
        <f>[1]ALC!D53</f>
        <v>44767</v>
      </c>
      <c r="E53" s="22">
        <f>[1]ALC!E53</f>
        <v>44769</v>
      </c>
      <c r="F53" s="23">
        <v>1</v>
      </c>
      <c r="G53" s="23" t="str">
        <f t="shared" si="7"/>
        <v>100%</v>
      </c>
      <c r="H53" s="17">
        <f t="shared" si="8"/>
        <v>5.1625426555086912E-4</v>
      </c>
      <c r="I53" s="17">
        <v>5.1625426555086912E-4</v>
      </c>
      <c r="J53" s="17">
        <f t="shared" si="9"/>
        <v>0</v>
      </c>
      <c r="K53" s="26" t="str">
        <f>VLOOKUP(A53,'[1]MS Progress'!$A:$Q,6,FALSE)</f>
        <v>100%</v>
      </c>
      <c r="L53" s="18"/>
    </row>
    <row r="54" spans="1:12" ht="14.25" customHeight="1" x14ac:dyDescent="0.25">
      <c r="A54" s="25" t="str">
        <f>'[1]ALC-Master'!A54</f>
        <v>A1030.5</v>
      </c>
      <c r="B54" s="25" t="str">
        <f>'[1]ALC-Master'!C54</f>
        <v>MD3 Weighbridge System Package (Rev 0b) Review (2nd Round)</v>
      </c>
      <c r="C54" s="20">
        <f>[1]ALC!G54</f>
        <v>1.3766780414689842E-3</v>
      </c>
      <c r="D54" s="21">
        <f>[1]ALC!D54</f>
        <v>44770</v>
      </c>
      <c r="E54" s="22">
        <f>[1]ALC!E54</f>
        <v>44778</v>
      </c>
      <c r="F54" s="23">
        <v>1</v>
      </c>
      <c r="G54" s="23" t="str">
        <f t="shared" si="7"/>
        <v>100%</v>
      </c>
      <c r="H54" s="17">
        <f t="shared" si="8"/>
        <v>1.3766780414689842E-3</v>
      </c>
      <c r="I54" s="17">
        <v>1.3766780414689842E-3</v>
      </c>
      <c r="J54" s="17">
        <f t="shared" si="9"/>
        <v>0</v>
      </c>
      <c r="K54" s="26" t="str">
        <f>VLOOKUP(A54,'[1]MS Progress'!$A:$Q,6,FALSE)</f>
        <v>100%</v>
      </c>
      <c r="L54" s="18"/>
    </row>
    <row r="55" spans="1:12" ht="14.25" customHeight="1" x14ac:dyDescent="0.25">
      <c r="A55" s="25" t="str">
        <f>'[1]ALC-Master'!A55</f>
        <v>A1030.6</v>
      </c>
      <c r="B55" s="25" t="str">
        <f>'[1]ALC-Master'!C55</f>
        <v>MD3 Weighbridge System Package (Rev 0b) ALC Ammendment (2nd Round)</v>
      </c>
      <c r="C55" s="20">
        <f>[1]ALC!G55</f>
        <v>8.6042377591811516E-4</v>
      </c>
      <c r="D55" s="21">
        <f>[1]ALC!D55</f>
        <v>44779</v>
      </c>
      <c r="E55" s="22">
        <f>[1]ALC!E55</f>
        <v>44785</v>
      </c>
      <c r="F55" s="23">
        <v>1</v>
      </c>
      <c r="G55" s="23" t="str">
        <f t="shared" si="7"/>
        <v>100%</v>
      </c>
      <c r="H55" s="17">
        <f t="shared" si="8"/>
        <v>8.6042377591811516E-4</v>
      </c>
      <c r="I55" s="17">
        <v>8.6042377591811516E-4</v>
      </c>
      <c r="J55" s="17">
        <f t="shared" si="9"/>
        <v>0</v>
      </c>
      <c r="K55" s="26" t="str">
        <f>VLOOKUP(A55,'[1]MS Progress'!$A:$Q,6,FALSE)</f>
        <v>100%</v>
      </c>
      <c r="L55" s="18"/>
    </row>
    <row r="56" spans="1:12" ht="14.25" customHeight="1" x14ac:dyDescent="0.25">
      <c r="A56" s="25" t="str">
        <f>'[1]ALC-Master'!A56</f>
        <v>A1030.7</v>
      </c>
      <c r="B56" s="25" t="str">
        <f>'[1]ALC-Master'!C56</f>
        <v>MD3 Weighbridge System Package (Rev 0) Review by SO/ NEA</v>
      </c>
      <c r="C56" s="20">
        <f>[1]ALC!G56</f>
        <v>1.135759384211912E-2</v>
      </c>
      <c r="D56" s="21">
        <f>[1]ALC!D56</f>
        <v>44786</v>
      </c>
      <c r="E56" s="22">
        <f>[1]ALC!E56</f>
        <v>44805</v>
      </c>
      <c r="F56" s="23">
        <v>1</v>
      </c>
      <c r="G56" s="23" t="str">
        <f t="shared" si="7"/>
        <v>100%</v>
      </c>
      <c r="H56" s="17">
        <f t="shared" si="8"/>
        <v>1.135759384211912E-2</v>
      </c>
      <c r="I56" s="17">
        <v>1.135759384211912E-2</v>
      </c>
      <c r="J56" s="17">
        <f t="shared" si="9"/>
        <v>0</v>
      </c>
      <c r="K56" s="26" t="str">
        <f>VLOOKUP(A56,'[1]MS Progress'!$A:$Q,6,FALSE)</f>
        <v>100%</v>
      </c>
      <c r="L56" s="18"/>
    </row>
    <row r="57" spans="1:12" ht="14.25" customHeight="1" x14ac:dyDescent="0.25">
      <c r="A57" s="25" t="str">
        <f>'[1]ALC-Master'!A57</f>
        <v>A1030.8</v>
      </c>
      <c r="B57" s="25" t="str">
        <f>'[1]ALC-Master'!C57</f>
        <v>MD3 Weighbridge System Package (Rev 1a) Ammendment by ALC on SO comments and Re-submission to KSPL</v>
      </c>
      <c r="C57" s="20">
        <f>[1]ALC!G57</f>
        <v>2.98567050243586E-3</v>
      </c>
      <c r="D57" s="21">
        <f>[1]ALC!D57</f>
        <v>44806</v>
      </c>
      <c r="E57" s="22">
        <f>[1]ALC!E57</f>
        <v>44813</v>
      </c>
      <c r="F57" s="23">
        <v>1</v>
      </c>
      <c r="G57" s="23" t="str">
        <f t="shared" si="7"/>
        <v>100%</v>
      </c>
      <c r="H57" s="17">
        <f t="shared" si="8"/>
        <v>2.98567050243586E-3</v>
      </c>
      <c r="I57" s="17">
        <v>2.98567050243586E-3</v>
      </c>
      <c r="J57" s="17">
        <f t="shared" si="9"/>
        <v>0</v>
      </c>
      <c r="K57" s="26" t="str">
        <f>VLOOKUP(A57,'[1]MS Progress'!$A:$Q,6,FALSE)</f>
        <v>100%</v>
      </c>
      <c r="L57" s="18"/>
    </row>
    <row r="58" spans="1:12" ht="14.25" customHeight="1" x14ac:dyDescent="0.25">
      <c r="A58" s="25" t="str">
        <f>'[1]ALC-Master'!A58</f>
        <v>A1030.9</v>
      </c>
      <c r="B58" s="25" t="str">
        <f>'[1]ALC-Master'!C58</f>
        <v>MD3 Weighbridge System Package (Rev 1a) Review (1st Round)</v>
      </c>
      <c r="C58" s="20">
        <f>[1]ALC!G58</f>
        <v>1.7208475518362302E-4</v>
      </c>
      <c r="D58" s="21">
        <f>[1]ALC!D58</f>
        <v>44814</v>
      </c>
      <c r="E58" s="22">
        <f>[1]ALC!E58</f>
        <v>44820</v>
      </c>
      <c r="F58" s="23">
        <v>1</v>
      </c>
      <c r="G58" s="23" t="str">
        <f t="shared" si="7"/>
        <v>100%</v>
      </c>
      <c r="H58" s="17">
        <f t="shared" si="8"/>
        <v>1.7208475518362302E-4</v>
      </c>
      <c r="I58" s="17">
        <v>1.7208475518362302E-4</v>
      </c>
      <c r="J58" s="17">
        <f t="shared" si="9"/>
        <v>0</v>
      </c>
      <c r="K58" s="26" t="str">
        <f>VLOOKUP(A58,'[1]MS Progress'!$A:$Q,6,FALSE)</f>
        <v>100%</v>
      </c>
      <c r="L58" s="18"/>
    </row>
    <row r="59" spans="1:12" ht="14.25" customHeight="1" x14ac:dyDescent="0.25">
      <c r="A59" s="25" t="str">
        <f>'[1]ALC-Master'!A59</f>
        <v>A1030.10</v>
      </c>
      <c r="B59" s="25" t="str">
        <f>'[1]ALC-Master'!C59</f>
        <v>MD3 Weighbridge System Package (Rev 1a) ALC Ammendment (1st Round)</v>
      </c>
      <c r="C59" s="20">
        <f>[1]ALC!G59</f>
        <v>1.7208475518362302E-4</v>
      </c>
      <c r="D59" s="21">
        <f>[1]ALC!D59</f>
        <v>44821</v>
      </c>
      <c r="E59" s="22">
        <f>[1]ALC!E59</f>
        <v>44825</v>
      </c>
      <c r="F59" s="23">
        <v>1</v>
      </c>
      <c r="G59" s="23" t="str">
        <f t="shared" si="7"/>
        <v>100%</v>
      </c>
      <c r="H59" s="17">
        <f t="shared" si="8"/>
        <v>1.7208475518362302E-4</v>
      </c>
      <c r="I59" s="17">
        <v>1.7208475518362302E-4</v>
      </c>
      <c r="J59" s="17">
        <f t="shared" si="9"/>
        <v>0</v>
      </c>
      <c r="K59" s="26" t="str">
        <f>VLOOKUP(A59,'[1]MS Progress'!$A:$Q,6,FALSE)</f>
        <v>100%</v>
      </c>
      <c r="L59" s="18"/>
    </row>
    <row r="60" spans="1:12" ht="14.25" customHeight="1" x14ac:dyDescent="0.25">
      <c r="A60" s="25" t="str">
        <f>'[1]ALC-Master'!A60</f>
        <v>A1030.11</v>
      </c>
      <c r="B60" s="25" t="str">
        <f>'[1]ALC-Master'!C60</f>
        <v>MD3 Weighbridge System Package (Rev 1b) Review (2nd Round)</v>
      </c>
      <c r="C60" s="20">
        <f>[1]ALC!G60</f>
        <v>1.7208475518362302E-4</v>
      </c>
      <c r="D60" s="21">
        <f>[1]ALC!D60</f>
        <v>44826</v>
      </c>
      <c r="E60" s="22">
        <f>[1]ALC!E60</f>
        <v>44833</v>
      </c>
      <c r="F60" s="23">
        <v>1</v>
      </c>
      <c r="G60" s="23" t="str">
        <f t="shared" si="7"/>
        <v>100%</v>
      </c>
      <c r="H60" s="17">
        <f t="shared" si="8"/>
        <v>1.7208475518362302E-4</v>
      </c>
      <c r="I60" s="17">
        <v>1.7208475518362302E-4</v>
      </c>
      <c r="J60" s="17">
        <f t="shared" si="9"/>
        <v>0</v>
      </c>
      <c r="K60" s="26" t="str">
        <f>VLOOKUP(A60,'[1]MS Progress'!$A:$Q,6,FALSE)</f>
        <v>100%</v>
      </c>
      <c r="L60" s="18"/>
    </row>
    <row r="61" spans="1:12" ht="14.25" customHeight="1" x14ac:dyDescent="0.25">
      <c r="A61" s="25" t="str">
        <f>'[1]ALC-Master'!A61</f>
        <v>A1030.12</v>
      </c>
      <c r="B61" s="25" t="str">
        <f>'[1]ALC-Master'!C61</f>
        <v>MD3 Weighbridge System Package (Rev 1b) ALC Ammendment (2nd Round)</v>
      </c>
      <c r="C61" s="20">
        <f>[1]ALC!G61</f>
        <v>1.7208475518362302E-4</v>
      </c>
      <c r="D61" s="21">
        <f>[1]ALC!D61</f>
        <v>44834</v>
      </c>
      <c r="E61" s="22">
        <f>[1]ALC!E61</f>
        <v>44838</v>
      </c>
      <c r="F61" s="23">
        <v>1</v>
      </c>
      <c r="G61" s="23" t="str">
        <f t="shared" si="7"/>
        <v>100%</v>
      </c>
      <c r="H61" s="17">
        <f t="shared" si="8"/>
        <v>1.7208475518362302E-4</v>
      </c>
      <c r="I61" s="17">
        <v>1.7208475518362302E-4</v>
      </c>
      <c r="J61" s="17">
        <f t="shared" si="9"/>
        <v>0</v>
      </c>
      <c r="K61" s="26" t="str">
        <f>VLOOKUP(A61,'[1]MS Progress'!$A:$Q,6,FALSE)</f>
        <v>100%</v>
      </c>
      <c r="L61" s="18"/>
    </row>
    <row r="62" spans="1:12" ht="14.25" customHeight="1" x14ac:dyDescent="0.25">
      <c r="A62" s="25" t="str">
        <f>'[1]ALC-Master'!A62</f>
        <v>A1030.13</v>
      </c>
      <c r="B62" s="25" t="str">
        <f>'[1]ALC-Master'!C62</f>
        <v>MD3 Weighbridge System Package (Rev 1) Review by SO/ NEA</v>
      </c>
      <c r="C62" s="20">
        <f>[1]ALC!G62</f>
        <v>3.5277374812642723E-3</v>
      </c>
      <c r="D62" s="21">
        <f>[1]ALC!D62</f>
        <v>44839</v>
      </c>
      <c r="E62" s="22">
        <f>[1]ALC!E62</f>
        <v>44859</v>
      </c>
      <c r="F62" s="23">
        <v>1</v>
      </c>
      <c r="G62" s="23" t="str">
        <f t="shared" si="7"/>
        <v>100%</v>
      </c>
      <c r="H62" s="17">
        <f t="shared" si="8"/>
        <v>3.5277374812642723E-3</v>
      </c>
      <c r="I62" s="17">
        <v>3.5277374812642723E-3</v>
      </c>
      <c r="J62" s="17">
        <f t="shared" si="9"/>
        <v>0</v>
      </c>
      <c r="K62" s="26" t="str">
        <f>VLOOKUP(A62,'[1]MS Progress'!$A:$Q,6,FALSE)</f>
        <v>100%</v>
      </c>
      <c r="L62" s="18"/>
    </row>
    <row r="63" spans="1:12" ht="14.25" customHeight="1" x14ac:dyDescent="0.25">
      <c r="A63" s="25" t="str">
        <f>'[1]ALC-Master'!A63</f>
        <v>A1030.14</v>
      </c>
      <c r="B63" s="25" t="str">
        <f>'[1]ALC-Master'!C63</f>
        <v>MD3 Weighbridge System Package (Review 2 and above monitored accepted with comments, No Re-submission Required)</v>
      </c>
      <c r="C63" s="20">
        <f>[1]ALC!G63</f>
        <v>4.6462883899578223E-3</v>
      </c>
      <c r="D63" s="21">
        <f>[1]ALC!D63</f>
        <v>44860</v>
      </c>
      <c r="E63" s="22">
        <f>[1]ALC!E63</f>
        <v>44890</v>
      </c>
      <c r="F63" s="23">
        <v>1</v>
      </c>
      <c r="G63" s="23" t="str">
        <f t="shared" si="7"/>
        <v>100%</v>
      </c>
      <c r="H63" s="17">
        <f t="shared" si="8"/>
        <v>4.6462883899578223E-3</v>
      </c>
      <c r="I63" s="17">
        <v>4.6462883899578223E-3</v>
      </c>
      <c r="J63" s="17">
        <f t="shared" si="9"/>
        <v>0</v>
      </c>
      <c r="K63" s="26" t="str">
        <f>VLOOKUP(A63,'[1]MS Progress'!$A:$Q,6,FALSE)</f>
        <v>100%</v>
      </c>
      <c r="L63" s="18"/>
    </row>
    <row r="64" spans="1:12" ht="14.25" customHeight="1" x14ac:dyDescent="0.25">
      <c r="A64" s="25" t="str">
        <f>'[1]ALC-Master'!A64</f>
        <v>A1030.2</v>
      </c>
      <c r="B64" s="25" t="str">
        <f>'[1]ALC-Master'!C64</f>
        <v>ED2 Preparation, Submission, Review &amp; Acceptance</v>
      </c>
      <c r="C64" s="20">
        <f>[1]ALC!G64</f>
        <v>0.18387772345635672</v>
      </c>
      <c r="D64" s="21">
        <f>[1]ALC!D64</f>
        <v>44365</v>
      </c>
      <c r="E64" s="22">
        <f>[1]ALC!E64</f>
        <v>45121</v>
      </c>
      <c r="F64" s="23">
        <v>1</v>
      </c>
      <c r="G64" s="23" t="str">
        <f t="shared" si="7"/>
        <v>100%</v>
      </c>
      <c r="H64" s="17">
        <f t="shared" si="8"/>
        <v>0.18387772345635672</v>
      </c>
      <c r="I64" s="17">
        <v>0.18387772345635672</v>
      </c>
      <c r="J64" s="17">
        <f t="shared" si="9"/>
        <v>0</v>
      </c>
      <c r="K64" s="26" t="str">
        <f>VLOOKUP(A64,'[1]MS Progress'!$A:$Q,6,FALSE)</f>
        <v>100%</v>
      </c>
      <c r="L64" s="18"/>
    </row>
    <row r="65" spans="1:12" ht="14.25" customHeight="1" x14ac:dyDescent="0.25">
      <c r="A65" s="25" t="str">
        <f>'[1]ALC-Master'!A65</f>
        <v>A1030.2.1</v>
      </c>
      <c r="B65" s="25" t="str">
        <f>'[1]ALC-Master'!C65</f>
        <v>ED2 Weighbridge System Package (Rev 0a) Preparation by ALC</v>
      </c>
      <c r="C65" s="20">
        <f>[1]ALC!G65</f>
        <v>1.1529678597302744E-2</v>
      </c>
      <c r="D65" s="21">
        <f>[1]ALC!D65</f>
        <v>44365</v>
      </c>
      <c r="E65" s="22">
        <f>[1]ALC!E65</f>
        <v>44443</v>
      </c>
      <c r="F65" s="23">
        <v>1</v>
      </c>
      <c r="G65" s="23" t="str">
        <f t="shared" si="7"/>
        <v>100%</v>
      </c>
      <c r="H65" s="17">
        <f t="shared" si="8"/>
        <v>1.1529678597302744E-2</v>
      </c>
      <c r="I65" s="17">
        <v>1.1529678597302744E-2</v>
      </c>
      <c r="J65" s="17">
        <f t="shared" si="9"/>
        <v>0</v>
      </c>
      <c r="K65" s="26" t="str">
        <f>VLOOKUP(A65,'[1]MS Progress'!$A:$Q,6,FALSE)</f>
        <v>100%</v>
      </c>
      <c r="L65" s="18"/>
    </row>
    <row r="66" spans="1:12" ht="14.25" customHeight="1" x14ac:dyDescent="0.25">
      <c r="A66" s="25" t="str">
        <f>'[1]ALC-Master'!A66</f>
        <v>A1030.2.2</v>
      </c>
      <c r="B66" s="25" t="str">
        <f>'[1]ALC-Master'!C66</f>
        <v>ED2 Weighbridge System Package (Rev 0a) Submission to KSPL</v>
      </c>
      <c r="C66" s="20">
        <f>[1]ALC!G66</f>
        <v>3.4416951036724604E-4</v>
      </c>
      <c r="D66" s="21">
        <f>[1]ALC!D66</f>
        <v>44445</v>
      </c>
      <c r="E66" s="22">
        <f>[1]ALC!E66</f>
        <v>44446</v>
      </c>
      <c r="F66" s="23">
        <v>1</v>
      </c>
      <c r="G66" s="23" t="str">
        <f t="shared" si="7"/>
        <v>100%</v>
      </c>
      <c r="H66" s="17">
        <f t="shared" si="8"/>
        <v>3.4416951036724604E-4</v>
      </c>
      <c r="I66" s="17">
        <v>3.4416951036724604E-4</v>
      </c>
      <c r="J66" s="17">
        <f t="shared" si="9"/>
        <v>0</v>
      </c>
      <c r="K66" s="26" t="str">
        <f>VLOOKUP(A66,'[1]MS Progress'!$A:$Q,6,FALSE)</f>
        <v>100%</v>
      </c>
      <c r="L66" s="18"/>
    </row>
    <row r="67" spans="1:12" ht="14.25" customHeight="1" x14ac:dyDescent="0.25">
      <c r="A67" s="25" t="str">
        <f>'[1]ALC-Master'!A67</f>
        <v>A1030.2.3</v>
      </c>
      <c r="B67" s="25" t="str">
        <f>'[1]ALC-Master'!C67</f>
        <v>ED2 Weighbridge System Package (Rev 0a) Review (1st Round)</v>
      </c>
      <c r="C67" s="20">
        <f>[1]ALC!G67</f>
        <v>2.0650170622034765E-3</v>
      </c>
      <c r="D67" s="21">
        <f>[1]ALC!D67</f>
        <v>44447</v>
      </c>
      <c r="E67" s="22">
        <f>[1]ALC!E67</f>
        <v>44460</v>
      </c>
      <c r="F67" s="23">
        <v>1</v>
      </c>
      <c r="G67" s="23" t="str">
        <f t="shared" si="7"/>
        <v>100%</v>
      </c>
      <c r="H67" s="17">
        <f t="shared" si="8"/>
        <v>2.0650170622034765E-3</v>
      </c>
      <c r="I67" s="17">
        <v>2.0650170622034765E-3</v>
      </c>
      <c r="J67" s="17">
        <f t="shared" si="9"/>
        <v>0</v>
      </c>
      <c r="K67" s="26" t="str">
        <f>VLOOKUP(A67,'[1]MS Progress'!$A:$Q,6,FALSE)</f>
        <v>100%</v>
      </c>
      <c r="L67" s="18"/>
    </row>
    <row r="68" spans="1:12" ht="14.25" customHeight="1" x14ac:dyDescent="0.25">
      <c r="A68" s="25" t="str">
        <f>'[1]ALC-Master'!A68</f>
        <v>A1030.2.4</v>
      </c>
      <c r="B68" s="25" t="str">
        <f>'[1]ALC-Master'!C68</f>
        <v>ED2 Weighbridge System Package (Rev 0a) ALC Ammendment (1st Round)</v>
      </c>
      <c r="C68" s="20">
        <f>[1]ALC!G68</f>
        <v>1.3766780414689842E-3</v>
      </c>
      <c r="D68" s="21">
        <f>[1]ALC!D68</f>
        <v>44461</v>
      </c>
      <c r="E68" s="22">
        <f>[1]ALC!E68</f>
        <v>44469</v>
      </c>
      <c r="F68" s="23">
        <v>1</v>
      </c>
      <c r="G68" s="23" t="str">
        <f t="shared" si="7"/>
        <v>100%</v>
      </c>
      <c r="H68" s="17">
        <f t="shared" si="8"/>
        <v>1.3766780414689842E-3</v>
      </c>
      <c r="I68" s="17">
        <v>1.3766780414689842E-3</v>
      </c>
      <c r="J68" s="17">
        <f t="shared" si="9"/>
        <v>0</v>
      </c>
      <c r="K68" s="26" t="str">
        <f>VLOOKUP(A68,'[1]MS Progress'!$A:$Q,6,FALSE)</f>
        <v>100%</v>
      </c>
      <c r="L68" s="18"/>
    </row>
    <row r="69" spans="1:12" ht="14.25" customHeight="1" x14ac:dyDescent="0.25">
      <c r="A69" s="25" t="str">
        <f>'[1]ALC-Master'!A69</f>
        <v>A1030.2.5</v>
      </c>
      <c r="B69" s="25" t="str">
        <f>'[1]ALC-Master'!C69</f>
        <v>ED2 Weighbridge System Package (Rev 0b) Review (2nd Round)</v>
      </c>
      <c r="C69" s="20">
        <f>[1]ALC!G69</f>
        <v>1.0325085311017382E-3</v>
      </c>
      <c r="D69" s="21">
        <f>[1]ALC!D69</f>
        <v>44470</v>
      </c>
      <c r="E69" s="22">
        <f>[1]ALC!E69</f>
        <v>44476</v>
      </c>
      <c r="F69" s="23">
        <v>1</v>
      </c>
      <c r="G69" s="23" t="str">
        <f t="shared" si="7"/>
        <v>100%</v>
      </c>
      <c r="H69" s="17">
        <f t="shared" si="8"/>
        <v>1.0325085311017382E-3</v>
      </c>
      <c r="I69" s="17">
        <v>1.0325085311017382E-3</v>
      </c>
      <c r="J69" s="17">
        <f t="shared" si="9"/>
        <v>0</v>
      </c>
      <c r="K69" s="26" t="str">
        <f>VLOOKUP(A69,'[1]MS Progress'!$A:$Q,6,FALSE)</f>
        <v>100%</v>
      </c>
      <c r="L69" s="18"/>
    </row>
    <row r="70" spans="1:12" ht="14.25" customHeight="1" x14ac:dyDescent="0.25">
      <c r="A70" s="25" t="str">
        <f>'[1]ALC-Master'!A70</f>
        <v>A1030.2.6</v>
      </c>
      <c r="B70" s="25" t="str">
        <f>'[1]ALC-Master'!C70</f>
        <v>ED2 Weighbridge System Package (Rev 0b) ALC Ammendment (2nd Round)</v>
      </c>
      <c r="C70" s="20">
        <f>[1]ALC!G70</f>
        <v>1.3766780414689842E-3</v>
      </c>
      <c r="D70" s="21">
        <f>[1]ALC!D70</f>
        <v>44476</v>
      </c>
      <c r="E70" s="22">
        <f>[1]ALC!E70</f>
        <v>44484</v>
      </c>
      <c r="F70" s="23">
        <v>1</v>
      </c>
      <c r="G70" s="23" t="str">
        <f t="shared" si="7"/>
        <v>100%</v>
      </c>
      <c r="H70" s="17">
        <f t="shared" si="8"/>
        <v>1.3766780414689842E-3</v>
      </c>
      <c r="I70" s="17">
        <v>1.3766780414689842E-3</v>
      </c>
      <c r="J70" s="17">
        <f t="shared" si="9"/>
        <v>0</v>
      </c>
      <c r="K70" s="26" t="str">
        <f>VLOOKUP(A70,'[1]MS Progress'!$A:$Q,6,FALSE)</f>
        <v>100%</v>
      </c>
      <c r="L70" s="18"/>
    </row>
    <row r="71" spans="1:12" ht="14.25" customHeight="1" x14ac:dyDescent="0.25">
      <c r="A71" s="25" t="str">
        <f>'[1]ALC-Master'!A71</f>
        <v>A1030.2.7</v>
      </c>
      <c r="B71" s="25" t="str">
        <f>'[1]ALC-Master'!C71</f>
        <v>ED2 Weighbridge System Package (Rev 0) Review by SO/ NEA</v>
      </c>
      <c r="C71" s="20">
        <f>[1]ALC!G71</f>
        <v>1.8929323070198533E-3</v>
      </c>
      <c r="D71" s="21">
        <f>[1]ALC!D71</f>
        <v>44687</v>
      </c>
      <c r="E71" s="22">
        <f>[1]ALC!E71</f>
        <v>44699</v>
      </c>
      <c r="F71" s="23">
        <v>1</v>
      </c>
      <c r="G71" s="23" t="str">
        <f t="shared" si="7"/>
        <v>100%</v>
      </c>
      <c r="H71" s="17">
        <f t="shared" si="8"/>
        <v>1.8929323070198533E-3</v>
      </c>
      <c r="I71" s="17">
        <v>1.8929323070198533E-3</v>
      </c>
      <c r="J71" s="17">
        <f t="shared" si="9"/>
        <v>0</v>
      </c>
      <c r="K71" s="26" t="str">
        <f>VLOOKUP(A71,'[1]MS Progress'!$A:$Q,6,FALSE)</f>
        <v>100%</v>
      </c>
      <c r="L71" s="18"/>
    </row>
    <row r="72" spans="1:12" ht="14.25" customHeight="1" x14ac:dyDescent="0.25">
      <c r="A72" s="25" t="str">
        <f>'[1]ALC-Master'!A72</f>
        <v>A1030.2.8</v>
      </c>
      <c r="B72" s="25" t="str">
        <f>'[1]ALC-Master'!C72</f>
        <v>ED2 Weighbridge System Package (Rev 1a) Ammendment by ALC on SO comments and Re-submission to KSPL</v>
      </c>
      <c r="C72" s="20">
        <f>[1]ALC!G72</f>
        <v>5.1625426555086907E-3</v>
      </c>
      <c r="D72" s="21">
        <f>[1]ALC!D72</f>
        <v>44700</v>
      </c>
      <c r="E72" s="22">
        <f>[1]ALC!E72</f>
        <v>44734</v>
      </c>
      <c r="F72" s="23">
        <v>1</v>
      </c>
      <c r="G72" s="23" t="str">
        <f t="shared" si="7"/>
        <v>100%</v>
      </c>
      <c r="H72" s="17">
        <f t="shared" si="8"/>
        <v>5.1625426555086907E-3</v>
      </c>
      <c r="I72" s="17">
        <v>5.1625426555086907E-3</v>
      </c>
      <c r="J72" s="17">
        <f t="shared" si="9"/>
        <v>0</v>
      </c>
      <c r="K72" s="26" t="str">
        <f>VLOOKUP(A72,'[1]MS Progress'!$A:$Q,6,FALSE)</f>
        <v>100%</v>
      </c>
      <c r="L72" s="18"/>
    </row>
    <row r="73" spans="1:12" ht="14.25" customHeight="1" x14ac:dyDescent="0.25">
      <c r="A73" s="25" t="str">
        <f>'[1]ALC-Master'!A73</f>
        <v>A1030.2.9</v>
      </c>
      <c r="B73" s="25" t="str">
        <f>'[1]ALC-Master'!C73</f>
        <v>ED2 Weighbridge System Package (Rev 1a) Review (1st Round)</v>
      </c>
      <c r="C73" s="20">
        <f>[1]ALC!G73</f>
        <v>1.0325085311017382E-3</v>
      </c>
      <c r="D73" s="21">
        <f>[1]ALC!D73</f>
        <v>44735</v>
      </c>
      <c r="E73" s="22">
        <f>[1]ALC!E73</f>
        <v>44741</v>
      </c>
      <c r="F73" s="23">
        <v>1</v>
      </c>
      <c r="G73" s="23" t="str">
        <f t="shared" si="7"/>
        <v>100%</v>
      </c>
      <c r="H73" s="17">
        <f t="shared" si="8"/>
        <v>1.0325085311017382E-3</v>
      </c>
      <c r="I73" s="17">
        <v>1.0325085311017382E-3</v>
      </c>
      <c r="J73" s="17">
        <f t="shared" si="9"/>
        <v>0</v>
      </c>
      <c r="K73" s="26" t="str">
        <f>VLOOKUP(A73,'[1]MS Progress'!$A:$Q,6,FALSE)</f>
        <v>100%</v>
      </c>
      <c r="L73" s="18"/>
    </row>
    <row r="74" spans="1:12" ht="14.25" customHeight="1" x14ac:dyDescent="0.25">
      <c r="A74" s="25" t="str">
        <f>'[1]ALC-Master'!A74</f>
        <v>A1030.2.10</v>
      </c>
      <c r="B74" s="25" t="str">
        <f>'[1]ALC-Master'!C74</f>
        <v>ED2 Weighbridge System Package (Rev 1a) ALC Ammendment (1st Round)</v>
      </c>
      <c r="C74" s="20">
        <f>[1]ALC!G74</f>
        <v>4.4931329578443971E-3</v>
      </c>
      <c r="D74" s="21">
        <f>[1]ALC!D74</f>
        <v>44742</v>
      </c>
      <c r="E74" s="22">
        <f>[1]ALC!E74</f>
        <v>44774</v>
      </c>
      <c r="F74" s="23">
        <v>1</v>
      </c>
      <c r="G74" s="23" t="str">
        <f t="shared" si="7"/>
        <v>100%</v>
      </c>
      <c r="H74" s="17">
        <f t="shared" si="8"/>
        <v>4.4931329578443971E-3</v>
      </c>
      <c r="I74" s="17">
        <v>4.4931329578443971E-3</v>
      </c>
      <c r="J74" s="17">
        <f t="shared" si="9"/>
        <v>0</v>
      </c>
      <c r="K74" s="26" t="str">
        <f>VLOOKUP(A74,'[1]MS Progress'!$A:$Q,6,FALSE)</f>
        <v>100%</v>
      </c>
      <c r="L74" s="18"/>
    </row>
    <row r="75" spans="1:12" ht="14.25" customHeight="1" x14ac:dyDescent="0.25">
      <c r="A75" s="25" t="str">
        <f>'[1]ALC-Master'!A75</f>
        <v>A1030.2.11</v>
      </c>
      <c r="B75" s="25" t="str">
        <f>'[1]ALC-Master'!C75</f>
        <v>ED2 Weighbridge System Package (Rev 1b) Review (2nd Round)</v>
      </c>
      <c r="C75" s="20">
        <f>[1]ALC!G75</f>
        <v>1.2235226093555598E-3</v>
      </c>
      <c r="D75" s="21">
        <f>[1]ALC!D75</f>
        <v>44775</v>
      </c>
      <c r="E75" s="22">
        <f>[1]ALC!E75</f>
        <v>44784</v>
      </c>
      <c r="F75" s="23">
        <v>1</v>
      </c>
      <c r="G75" s="23" t="str">
        <f t="shared" si="7"/>
        <v>100%</v>
      </c>
      <c r="H75" s="17">
        <f t="shared" si="8"/>
        <v>1.2235226093555598E-3</v>
      </c>
      <c r="I75" s="17">
        <v>1.2235226093555598E-3</v>
      </c>
      <c r="J75" s="17">
        <f t="shared" si="9"/>
        <v>0</v>
      </c>
      <c r="K75" s="26" t="str">
        <f>VLOOKUP(A75,'[1]MS Progress'!$A:$Q,6,FALSE)</f>
        <v>100%</v>
      </c>
      <c r="L75" s="18"/>
    </row>
    <row r="76" spans="1:12" ht="14.25" customHeight="1" x14ac:dyDescent="0.25">
      <c r="A76" s="25" t="str">
        <f>'[1]ALC-Master'!A76</f>
        <v>A1030.2.12</v>
      </c>
      <c r="B76" s="25" t="str">
        <f>'[1]ALC-Master'!C76</f>
        <v>ED2 Weighbridge System Package (Rev 1b) ALC Ammendment (2nd Round)</v>
      </c>
      <c r="C76" s="20">
        <f>[1]ALC!G76</f>
        <v>1.3766780414689842E-3</v>
      </c>
      <c r="D76" s="21">
        <f>[1]ALC!D76</f>
        <v>44785</v>
      </c>
      <c r="E76" s="22">
        <f>[1]ALC!E76</f>
        <v>44793</v>
      </c>
      <c r="F76" s="23">
        <v>1</v>
      </c>
      <c r="G76" s="23" t="str">
        <f t="shared" si="7"/>
        <v>100%</v>
      </c>
      <c r="H76" s="17">
        <f t="shared" si="8"/>
        <v>1.3766780414689842E-3</v>
      </c>
      <c r="I76" s="17">
        <v>1.3766780414689842E-3</v>
      </c>
      <c r="J76" s="17">
        <f t="shared" si="9"/>
        <v>0</v>
      </c>
      <c r="K76" s="26" t="str">
        <f>VLOOKUP(A76,'[1]MS Progress'!$A:$Q,6,FALSE)</f>
        <v>100%</v>
      </c>
      <c r="L76" s="18"/>
    </row>
    <row r="77" spans="1:12" ht="14.25" customHeight="1" x14ac:dyDescent="0.25">
      <c r="A77" s="25" t="str">
        <f>'[1]ALC-Master'!A77</f>
        <v>A1030.2.13</v>
      </c>
      <c r="B77" s="25" t="str">
        <f>'[1]ALC-Master'!C77</f>
        <v>ED2 Weighbridge System Package (Rev 1) Review by SO/ NEA</v>
      </c>
      <c r="C77" s="20">
        <f>[1]ALC!G77</f>
        <v>1.7208475518362303E-3</v>
      </c>
      <c r="D77" s="21">
        <f>[1]ALC!D77</f>
        <v>44796</v>
      </c>
      <c r="E77" s="22">
        <f>[1]ALC!E77</f>
        <v>44806</v>
      </c>
      <c r="F77" s="23">
        <v>1</v>
      </c>
      <c r="G77" s="23" t="str">
        <f t="shared" si="7"/>
        <v>100%</v>
      </c>
      <c r="H77" s="17">
        <f t="shared" si="8"/>
        <v>1.7208475518362303E-3</v>
      </c>
      <c r="I77" s="17">
        <v>1.7208475518362303E-3</v>
      </c>
      <c r="J77" s="17">
        <f t="shared" si="9"/>
        <v>0</v>
      </c>
      <c r="K77" s="26" t="str">
        <f>VLOOKUP(A77,'[1]MS Progress'!$A:$Q,6,FALSE)</f>
        <v>100%</v>
      </c>
      <c r="L77" s="18"/>
    </row>
    <row r="78" spans="1:12" ht="14.25" customHeight="1" x14ac:dyDescent="0.25">
      <c r="A78" s="25" t="str">
        <f>'[1]ALC-Master'!A78</f>
        <v>A1030.2.14</v>
      </c>
      <c r="B78" s="25" t="str">
        <f>'[1]ALC-Master'!C78</f>
        <v>ED2 Weighbridge System Package (Review 2 and above monitored accepted with comments, No Re-submission Required)</v>
      </c>
      <c r="C78" s="20">
        <f>[1]ALC!G78</f>
        <v>4.6652177130280205E-3</v>
      </c>
      <c r="D78" s="21">
        <f>[1]ALC!D78</f>
        <v>44809</v>
      </c>
      <c r="E78" s="22">
        <f>[1]ALC!E78</f>
        <v>45121</v>
      </c>
      <c r="F78" s="23">
        <v>1</v>
      </c>
      <c r="G78" s="23" t="str">
        <f t="shared" si="7"/>
        <v>100%</v>
      </c>
      <c r="H78" s="17">
        <f t="shared" si="8"/>
        <v>4.6652177130280205E-3</v>
      </c>
      <c r="I78" s="17">
        <v>4.6652177130280205E-3</v>
      </c>
      <c r="J78" s="17">
        <f t="shared" si="9"/>
        <v>0</v>
      </c>
      <c r="K78" s="26" t="str">
        <f>VLOOKUP(A78,'[1]MS Progress'!$A:$Q,6,FALSE)</f>
        <v>100%</v>
      </c>
      <c r="L78" s="18"/>
    </row>
    <row r="79" spans="1:12" ht="14.25" customHeight="1" x14ac:dyDescent="0.25">
      <c r="A79" s="25" t="str">
        <f>'[1]ALC-Master'!A79</f>
        <v>A1030.3</v>
      </c>
      <c r="B79" s="25" t="str">
        <f>'[1]ALC-Master'!C79</f>
        <v>ED3 Preparation, Submission, Review &amp; Acceptance</v>
      </c>
      <c r="C79" s="20"/>
      <c r="D79" s="21"/>
      <c r="E79" s="22"/>
      <c r="F79" s="23"/>
      <c r="G79" s="23"/>
      <c r="H79" s="17"/>
      <c r="I79" s="17"/>
      <c r="J79" s="17"/>
      <c r="K79" s="18"/>
      <c r="L79" s="18"/>
    </row>
    <row r="80" spans="1:12" ht="14.25" customHeight="1" x14ac:dyDescent="0.25">
      <c r="A80" s="25" t="str">
        <f>'[1]ALC-Master'!A80</f>
        <v>A1030.3.1</v>
      </c>
      <c r="B80" s="25" t="str">
        <f>'[1]ALC-Master'!C80</f>
        <v>ED3 Weighbridge System Package (Rev 0a) Preparation by ALC</v>
      </c>
      <c r="C80" s="20">
        <f>[1]ALC!G80</f>
        <v>1.8929323070198533E-3</v>
      </c>
      <c r="D80" s="21">
        <f>[1]ALC!D80</f>
        <v>44807</v>
      </c>
      <c r="E80" s="22">
        <f>[1]ALC!E80</f>
        <v>44839</v>
      </c>
      <c r="F80" s="23">
        <v>1</v>
      </c>
      <c r="G80" s="23" t="str">
        <f t="shared" ref="G80:G93" si="10">K80</f>
        <v>100%</v>
      </c>
      <c r="H80" s="17">
        <f t="shared" ref="H80:H93" si="11">(G80/F80)*C80</f>
        <v>1.8929323070198533E-3</v>
      </c>
      <c r="I80" s="17">
        <v>1.8929323070198533E-3</v>
      </c>
      <c r="J80" s="17">
        <f t="shared" ref="J80:J93" si="12">H80-I80</f>
        <v>0</v>
      </c>
      <c r="K80" s="26" t="str">
        <f>VLOOKUP(A80,'[1]MS Progress'!$A:$Q,6,FALSE)</f>
        <v>100%</v>
      </c>
      <c r="L80" s="18"/>
    </row>
    <row r="81" spans="1:12" ht="14.25" customHeight="1" x14ac:dyDescent="0.25">
      <c r="A81" s="25" t="str">
        <f>'[1]ALC-Master'!A81</f>
        <v>A1030.3.2</v>
      </c>
      <c r="B81" s="25" t="str">
        <f>'[1]ALC-Master'!C81</f>
        <v>ED3 Weighbridge System Package (Rev 0a) Submission to KSPL</v>
      </c>
      <c r="C81" s="20">
        <f>[1]ALC!G81</f>
        <v>3.4416951036724604E-4</v>
      </c>
      <c r="D81" s="21">
        <f>[1]ALC!D81</f>
        <v>44838</v>
      </c>
      <c r="E81" s="22">
        <f>[1]ALC!E81</f>
        <v>44839</v>
      </c>
      <c r="F81" s="23">
        <v>1</v>
      </c>
      <c r="G81" s="23" t="str">
        <f t="shared" si="10"/>
        <v>100%</v>
      </c>
      <c r="H81" s="17">
        <f t="shared" si="11"/>
        <v>3.4416951036724604E-4</v>
      </c>
      <c r="I81" s="17">
        <v>3.4416951036724604E-4</v>
      </c>
      <c r="J81" s="17">
        <f t="shared" si="12"/>
        <v>0</v>
      </c>
      <c r="K81" s="26" t="str">
        <f>VLOOKUP(A81,'[1]MS Progress'!$A:$Q,6,FALSE)</f>
        <v>100%</v>
      </c>
      <c r="L81" s="18"/>
    </row>
    <row r="82" spans="1:12" ht="14.25" customHeight="1" x14ac:dyDescent="0.25">
      <c r="A82" s="25" t="str">
        <f>'[1]ALC-Master'!A82</f>
        <v>A1030.3.3</v>
      </c>
      <c r="B82" s="25" t="str">
        <f>'[1]ALC-Master'!C82</f>
        <v>ED3 Weighbridge System Package (Rev 0a) Review (1st Round)</v>
      </c>
      <c r="C82" s="20">
        <f>[1]ALC!G82</f>
        <v>3.4416951036724604E-4</v>
      </c>
      <c r="D82" s="21">
        <f>[1]ALC!D82</f>
        <v>44841</v>
      </c>
      <c r="E82" s="22">
        <f>[1]ALC!E82</f>
        <v>44853</v>
      </c>
      <c r="F82" s="23">
        <v>1</v>
      </c>
      <c r="G82" s="23" t="str">
        <f t="shared" si="10"/>
        <v>100%</v>
      </c>
      <c r="H82" s="17">
        <f t="shared" si="11"/>
        <v>3.4416951036724604E-4</v>
      </c>
      <c r="I82" s="17">
        <v>3.4416951036724604E-4</v>
      </c>
      <c r="J82" s="17">
        <f t="shared" si="12"/>
        <v>0</v>
      </c>
      <c r="K82" s="26" t="str">
        <f>VLOOKUP(A82,'[1]MS Progress'!$A:$Q,6,FALSE)</f>
        <v>100%</v>
      </c>
      <c r="L82" s="18"/>
    </row>
    <row r="83" spans="1:12" ht="14.25" customHeight="1" x14ac:dyDescent="0.25">
      <c r="A83" s="25" t="str">
        <f>'[1]ALC-Master'!A83</f>
        <v>A1030.3.4</v>
      </c>
      <c r="B83" s="25" t="str">
        <f>'[1]ALC-Master'!C83</f>
        <v>ED3 Weighbridge System Package (Rev 0a) ALC Ammendment (1st Round)</v>
      </c>
      <c r="C83" s="20">
        <f>[1]ALC!G83</f>
        <v>3.4416951036724604E-4</v>
      </c>
      <c r="D83" s="21">
        <f>[1]ALC!D83</f>
        <v>44854</v>
      </c>
      <c r="E83" s="22">
        <f>[1]ALC!E83</f>
        <v>44860</v>
      </c>
      <c r="F83" s="23">
        <v>1</v>
      </c>
      <c r="G83" s="23" t="str">
        <f t="shared" si="10"/>
        <v>100%</v>
      </c>
      <c r="H83" s="17">
        <f t="shared" si="11"/>
        <v>3.4416951036724604E-4</v>
      </c>
      <c r="I83" s="17">
        <v>3.4416951036724604E-4</v>
      </c>
      <c r="J83" s="17">
        <f t="shared" si="12"/>
        <v>0</v>
      </c>
      <c r="K83" s="26" t="str">
        <f>VLOOKUP(A83,'[1]MS Progress'!$A:$Q,6,FALSE)</f>
        <v>100%</v>
      </c>
      <c r="L83" s="18"/>
    </row>
    <row r="84" spans="1:12" ht="14.25" customHeight="1" x14ac:dyDescent="0.25">
      <c r="A84" s="25" t="str">
        <f>'[1]ALC-Master'!A84</f>
        <v>A1030.3.5</v>
      </c>
      <c r="B84" s="25" t="str">
        <f>'[1]ALC-Master'!C84</f>
        <v>ED3 Weighbridge System Package (Rev 0b) Review (2nd Round)</v>
      </c>
      <c r="C84" s="20">
        <f>[1]ALC!G84</f>
        <v>3.4416951036724604E-4</v>
      </c>
      <c r="D84" s="21">
        <f>[1]ALC!D84</f>
        <v>44862</v>
      </c>
      <c r="E84" s="22">
        <f>[1]ALC!E84</f>
        <v>44869</v>
      </c>
      <c r="F84" s="23">
        <v>1</v>
      </c>
      <c r="G84" s="23" t="str">
        <f t="shared" si="10"/>
        <v>100%</v>
      </c>
      <c r="H84" s="17">
        <f t="shared" si="11"/>
        <v>3.4416951036724604E-4</v>
      </c>
      <c r="I84" s="17">
        <v>3.4416951036724604E-4</v>
      </c>
      <c r="J84" s="17">
        <f t="shared" si="12"/>
        <v>0</v>
      </c>
      <c r="K84" s="26" t="str">
        <f>VLOOKUP(A84,'[1]MS Progress'!$A:$Q,6,FALSE)</f>
        <v>100%</v>
      </c>
      <c r="L84" s="18"/>
    </row>
    <row r="85" spans="1:12" ht="14.25" customHeight="1" x14ac:dyDescent="0.25">
      <c r="A85" s="25" t="str">
        <f>'[1]ALC-Master'!A85</f>
        <v>A1030.3.6</v>
      </c>
      <c r="B85" s="25" t="str">
        <f>'[1]ALC-Master'!C85</f>
        <v>ED3 Weighbridge System Package (Rev 0b) ALC Ammendment (2nd Round)</v>
      </c>
      <c r="C85" s="20">
        <f>[1]ALC!G85</f>
        <v>3.4416951036724604E-4</v>
      </c>
      <c r="D85" s="21">
        <f>[1]ALC!D85</f>
        <v>44870</v>
      </c>
      <c r="E85" s="22">
        <f>[1]ALC!E85</f>
        <v>44874</v>
      </c>
      <c r="F85" s="23">
        <v>1</v>
      </c>
      <c r="G85" s="23" t="str">
        <f t="shared" si="10"/>
        <v>100%</v>
      </c>
      <c r="H85" s="17">
        <f t="shared" si="11"/>
        <v>3.4416951036724604E-4</v>
      </c>
      <c r="I85" s="17">
        <v>3.4416951036724604E-4</v>
      </c>
      <c r="J85" s="17">
        <f t="shared" si="12"/>
        <v>0</v>
      </c>
      <c r="K85" s="26" t="str">
        <f>VLOOKUP(A85,'[1]MS Progress'!$A:$Q,6,FALSE)</f>
        <v>100%</v>
      </c>
      <c r="L85" s="18"/>
    </row>
    <row r="86" spans="1:12" ht="14.25" customHeight="1" x14ac:dyDescent="0.25">
      <c r="A86" s="25" t="str">
        <f>'[1]ALC-Master'!A86</f>
        <v>A1030.3.7</v>
      </c>
      <c r="B86" s="25" t="str">
        <f>'[1]ALC-Master'!C86</f>
        <v>ED3 Weighbridge System Package (Rev 0) Review by SO/ NEA</v>
      </c>
      <c r="C86" s="20">
        <f>[1]ALC!G86</f>
        <v>0</v>
      </c>
      <c r="D86" s="21">
        <f>[1]ALC!D86</f>
        <v>44874</v>
      </c>
      <c r="E86" s="22">
        <f>[1]ALC!E86</f>
        <v>44872</v>
      </c>
      <c r="F86" s="23">
        <v>1</v>
      </c>
      <c r="G86" s="23" t="str">
        <f t="shared" si="10"/>
        <v>100%</v>
      </c>
      <c r="H86" s="17">
        <f t="shared" si="11"/>
        <v>0</v>
      </c>
      <c r="I86" s="17">
        <v>0</v>
      </c>
      <c r="J86" s="17">
        <f t="shared" si="12"/>
        <v>0</v>
      </c>
      <c r="K86" s="26" t="str">
        <f>VLOOKUP(A86,'[1]MS Progress'!$A:$Q,6,FALSE)</f>
        <v>100%</v>
      </c>
      <c r="L86" s="18"/>
    </row>
    <row r="87" spans="1:12" ht="14.25" customHeight="1" x14ac:dyDescent="0.25">
      <c r="A87" s="25" t="str">
        <f>'[1]ALC-Master'!A87</f>
        <v>A1030.3.8</v>
      </c>
      <c r="B87" s="25" t="str">
        <f>'[1]ALC-Master'!C87</f>
        <v>ED3 Weighbridge System Package (Rev 1a) Ammendment by ALC on SO comments and Re-submission to KSPL</v>
      </c>
      <c r="C87" s="20">
        <f>[1]ALC!G87</f>
        <v>9.6367462902828896E-4</v>
      </c>
      <c r="D87" s="21">
        <f>[1]ALC!D87</f>
        <v>44893</v>
      </c>
      <c r="E87" s="22">
        <f>[1]ALC!E87</f>
        <v>44900</v>
      </c>
      <c r="F87" s="23">
        <v>1</v>
      </c>
      <c r="G87" s="23" t="str">
        <f t="shared" si="10"/>
        <v>100%</v>
      </c>
      <c r="H87" s="17">
        <f t="shared" si="11"/>
        <v>9.6367462902828896E-4</v>
      </c>
      <c r="I87" s="17">
        <v>9.6367462902828896E-4</v>
      </c>
      <c r="J87" s="17">
        <f t="shared" si="12"/>
        <v>0</v>
      </c>
      <c r="K87" s="26" t="str">
        <f>VLOOKUP(A87,'[1]MS Progress'!$A:$Q,6,FALSE)</f>
        <v>100%</v>
      </c>
      <c r="L87" s="18"/>
    </row>
    <row r="88" spans="1:12" ht="14.25" customHeight="1" x14ac:dyDescent="0.25">
      <c r="A88" s="25" t="str">
        <f>'[1]ALC-Master'!A88</f>
        <v>A1030.3.9</v>
      </c>
      <c r="B88" s="25" t="str">
        <f>'[1]ALC-Master'!C88</f>
        <v>ED3 Weighbridge System Package (Rev 1a) Review (1st Round)</v>
      </c>
      <c r="C88" s="20">
        <f>[1]ALC!G88</f>
        <v>1.7208475518362302E-4</v>
      </c>
      <c r="D88" s="21">
        <f>[1]ALC!D88</f>
        <v>44901</v>
      </c>
      <c r="E88" s="22">
        <f>[1]ALC!E88</f>
        <v>44907</v>
      </c>
      <c r="F88" s="23">
        <v>1</v>
      </c>
      <c r="G88" s="23" t="str">
        <f t="shared" si="10"/>
        <v>100%</v>
      </c>
      <c r="H88" s="17">
        <f t="shared" si="11"/>
        <v>1.7208475518362302E-4</v>
      </c>
      <c r="I88" s="17">
        <v>1.7208475518362302E-4</v>
      </c>
      <c r="J88" s="17">
        <f t="shared" si="12"/>
        <v>0</v>
      </c>
      <c r="K88" s="26" t="str">
        <f>VLOOKUP(A88,'[1]MS Progress'!$A:$Q,6,FALSE)</f>
        <v>100%</v>
      </c>
      <c r="L88" s="18"/>
    </row>
    <row r="89" spans="1:12" ht="14.25" customHeight="1" x14ac:dyDescent="0.25">
      <c r="A89" s="25" t="str">
        <f>'[1]ALC-Master'!A89</f>
        <v>A1030.3.10</v>
      </c>
      <c r="B89" s="25" t="str">
        <f>'[1]ALC-Master'!C89</f>
        <v>ED3 Weighbridge System Package (Rev 1a) ALC Ammendment (1st Round)</v>
      </c>
      <c r="C89" s="20">
        <f>[1]ALC!G89</f>
        <v>0</v>
      </c>
      <c r="D89" s="21">
        <f>[1]ALC!D89</f>
        <v>44908</v>
      </c>
      <c r="E89" s="22">
        <f>[1]ALC!E89</f>
        <v>44911</v>
      </c>
      <c r="F89" s="23">
        <v>1</v>
      </c>
      <c r="G89" s="23" t="str">
        <f t="shared" si="10"/>
        <v>100%</v>
      </c>
      <c r="H89" s="17">
        <f t="shared" si="11"/>
        <v>0</v>
      </c>
      <c r="I89" s="17">
        <v>0</v>
      </c>
      <c r="J89" s="17">
        <f t="shared" si="12"/>
        <v>0</v>
      </c>
      <c r="K89" s="26" t="str">
        <f>VLOOKUP(A89,'[1]MS Progress'!$A:$Q,6,FALSE)</f>
        <v>100%</v>
      </c>
      <c r="L89" s="18"/>
    </row>
    <row r="90" spans="1:12" ht="14.25" customHeight="1" x14ac:dyDescent="0.25">
      <c r="A90" s="25" t="str">
        <f>'[1]ALC-Master'!A90</f>
        <v>A1030.3.11</v>
      </c>
      <c r="B90" s="25" t="str">
        <f>'[1]ALC-Master'!C90</f>
        <v>ED3 Weighbridge System Package (Rev 1b) Review (2nd Round)</v>
      </c>
      <c r="C90" s="20">
        <f>[1]ALC!G90</f>
        <v>1.7208475518362302E-4</v>
      </c>
      <c r="D90" s="21">
        <f>[1]ALC!D90</f>
        <v>44912</v>
      </c>
      <c r="E90" s="22">
        <f>[1]ALC!E90</f>
        <v>44918</v>
      </c>
      <c r="F90" s="23">
        <v>1</v>
      </c>
      <c r="G90" s="23" t="str">
        <f t="shared" si="10"/>
        <v>100%</v>
      </c>
      <c r="H90" s="17">
        <f t="shared" si="11"/>
        <v>1.7208475518362302E-4</v>
      </c>
      <c r="I90" s="17">
        <v>1.7208475518362302E-4</v>
      </c>
      <c r="J90" s="17">
        <f t="shared" si="12"/>
        <v>0</v>
      </c>
      <c r="K90" s="26" t="str">
        <f>VLOOKUP(A90,'[1]MS Progress'!$A:$Q,6,FALSE)</f>
        <v>100%</v>
      </c>
      <c r="L90" s="18"/>
    </row>
    <row r="91" spans="1:12" ht="14.25" customHeight="1" x14ac:dyDescent="0.25">
      <c r="A91" s="25" t="str">
        <f>'[1]ALC-Master'!A91</f>
        <v>A1030.3.12</v>
      </c>
      <c r="B91" s="25" t="str">
        <f>'[1]ALC-Master'!C91</f>
        <v>ED3 Weighbridge System Package (Rev 1b) ALC Ammendment (2nd Round)</v>
      </c>
      <c r="C91" s="20">
        <f>[1]ALC!G91</f>
        <v>1.0325085311017382E-3</v>
      </c>
      <c r="D91" s="21">
        <f>[1]ALC!D91</f>
        <v>44919</v>
      </c>
      <c r="E91" s="22">
        <f>[1]ALC!E91</f>
        <v>44924</v>
      </c>
      <c r="F91" s="23">
        <v>1</v>
      </c>
      <c r="G91" s="23" t="str">
        <f t="shared" si="10"/>
        <v>100%</v>
      </c>
      <c r="H91" s="17">
        <f t="shared" si="11"/>
        <v>1.0325085311017382E-3</v>
      </c>
      <c r="I91" s="17">
        <v>1.0325085311017382E-3</v>
      </c>
      <c r="J91" s="17">
        <f t="shared" si="12"/>
        <v>0</v>
      </c>
      <c r="K91" s="26" t="str">
        <f>VLOOKUP(A91,'[1]MS Progress'!$A:$Q,6,FALSE)</f>
        <v>100%</v>
      </c>
      <c r="L91" s="18"/>
    </row>
    <row r="92" spans="1:12" ht="14.25" customHeight="1" x14ac:dyDescent="0.25">
      <c r="A92" s="25" t="str">
        <f>'[1]ALC-Master'!A92</f>
        <v>A1030.3.13</v>
      </c>
      <c r="B92" s="25" t="str">
        <f>'[1]ALC-Master'!C92</f>
        <v>ED3 Weighbridge System Package (Rev 1) Review by SO/ NEA</v>
      </c>
      <c r="C92" s="20">
        <f>[1]ALC!G92</f>
        <v>3.0975255933052147E-3</v>
      </c>
      <c r="D92" s="21">
        <f>[1]ALC!D92</f>
        <v>44926</v>
      </c>
      <c r="E92" s="22">
        <f>[1]ALC!E92</f>
        <v>44945</v>
      </c>
      <c r="F92" s="23">
        <v>1</v>
      </c>
      <c r="G92" s="23" t="str">
        <f t="shared" si="10"/>
        <v>100%</v>
      </c>
      <c r="H92" s="17">
        <f t="shared" si="11"/>
        <v>3.0975255933052147E-3</v>
      </c>
      <c r="I92" s="17">
        <v>3.0975255933052147E-3</v>
      </c>
      <c r="J92" s="17">
        <f t="shared" si="12"/>
        <v>0</v>
      </c>
      <c r="K92" s="26" t="str">
        <f>VLOOKUP(A92,'[1]MS Progress'!$A:$Q,6,FALSE)</f>
        <v>100%</v>
      </c>
      <c r="L92" s="18"/>
    </row>
    <row r="93" spans="1:12" ht="14.25" customHeight="1" x14ac:dyDescent="0.25">
      <c r="A93" s="25" t="str">
        <f>'[1]ALC-Master'!A93</f>
        <v>A1030.3.13</v>
      </c>
      <c r="B93" s="25" t="str">
        <f>'[1]ALC-Master'!C93</f>
        <v>ED3 Weighbridge System Package (Review 2 and above monitored accepted with comments, No Re-submission Required)</v>
      </c>
      <c r="C93" s="20">
        <f>[1]ALC!G93</f>
        <v>4.6462883899578223E-3</v>
      </c>
      <c r="D93" s="21">
        <f>[1]ALC!D93</f>
        <v>45098</v>
      </c>
      <c r="E93" s="22">
        <f>[1]ALC!E93</f>
        <v>45129</v>
      </c>
      <c r="F93" s="23">
        <v>1</v>
      </c>
      <c r="G93" s="23" t="str">
        <f t="shared" si="10"/>
        <v>100%</v>
      </c>
      <c r="H93" s="17">
        <f t="shared" si="11"/>
        <v>4.6462883899578223E-3</v>
      </c>
      <c r="I93" s="17">
        <v>4.6462883899578223E-3</v>
      </c>
      <c r="J93" s="17">
        <f t="shared" si="12"/>
        <v>0</v>
      </c>
      <c r="K93" s="26" t="str">
        <f>VLOOKUP(A93,'[1]MS Progress'!$A:$Q,6,FALSE)</f>
        <v>100%</v>
      </c>
      <c r="L93" s="18"/>
    </row>
    <row r="94" spans="1:12" ht="14.25" customHeight="1" x14ac:dyDescent="0.25">
      <c r="A94" s="25" t="str">
        <f>'[1]ALC-Master'!A94</f>
        <v>A1030.4</v>
      </c>
      <c r="B94" s="25" t="str">
        <f>'[1]ALC-Master'!C94</f>
        <v>AD3 Preparation, Submission, Review &amp; Acceptance</v>
      </c>
      <c r="C94" s="20"/>
      <c r="D94" s="21"/>
      <c r="E94" s="22"/>
      <c r="F94" s="23"/>
      <c r="G94" s="23"/>
      <c r="H94" s="17"/>
      <c r="I94" s="17"/>
      <c r="J94" s="17"/>
      <c r="K94" s="18"/>
      <c r="L94" s="18"/>
    </row>
    <row r="95" spans="1:12" ht="14.25" customHeight="1" x14ac:dyDescent="0.25">
      <c r="A95" s="25" t="str">
        <f>'[1]ALC-Master'!A95</f>
        <v>A1030.4.1</v>
      </c>
      <c r="B95" s="25" t="str">
        <f>'[1]ALC-Master'!C95</f>
        <v>AD3 Weighbridge System Package (Rev 0a) Preparation by ALC</v>
      </c>
      <c r="C95" s="20">
        <f>[1]ALC!G95</f>
        <v>2.1338509642769257E-2</v>
      </c>
      <c r="D95" s="21">
        <f>[1]ALC!D95</f>
        <v>44602</v>
      </c>
      <c r="E95" s="22">
        <f>[1]ALC!E95</f>
        <v>44749</v>
      </c>
      <c r="F95" s="23">
        <v>1</v>
      </c>
      <c r="G95" s="23" t="str">
        <f t="shared" ref="G95:G108" si="13">K95</f>
        <v>100%</v>
      </c>
      <c r="H95" s="17">
        <f t="shared" ref="H95:H108" si="14">(G95/F95)*C95</f>
        <v>2.1338509642769257E-2</v>
      </c>
      <c r="I95" s="17">
        <v>2.1338509642769257E-2</v>
      </c>
      <c r="J95" s="17">
        <f t="shared" ref="J95:J108" si="15">H95-I95</f>
        <v>0</v>
      </c>
      <c r="K95" s="26" t="str">
        <f>VLOOKUP(A95,'[1]MS Progress'!$A:$Q,6,FALSE)</f>
        <v>100%</v>
      </c>
      <c r="L95" s="18"/>
    </row>
    <row r="96" spans="1:12" ht="14.25" customHeight="1" x14ac:dyDescent="0.25">
      <c r="A96" s="25" t="str">
        <f>'[1]ALC-Master'!A96</f>
        <v>A1030.4.2</v>
      </c>
      <c r="B96" s="25" t="str">
        <f>'[1]ALC-Master'!C96</f>
        <v>AD3 Weighbridge System Package (Rev 0a) Submission to KSPL</v>
      </c>
      <c r="C96" s="20">
        <f>[1]ALC!G96</f>
        <v>3.0975255933052147E-3</v>
      </c>
      <c r="D96" s="21">
        <f>[1]ALC!D96</f>
        <v>44750</v>
      </c>
      <c r="E96" s="22">
        <f>[1]ALC!E96</f>
        <v>44762</v>
      </c>
      <c r="F96" s="23">
        <v>1</v>
      </c>
      <c r="G96" s="23" t="str">
        <f t="shared" si="13"/>
        <v>100%</v>
      </c>
      <c r="H96" s="17">
        <f t="shared" si="14"/>
        <v>3.0975255933052147E-3</v>
      </c>
      <c r="I96" s="17">
        <v>3.0975255933052147E-3</v>
      </c>
      <c r="J96" s="17">
        <f t="shared" si="15"/>
        <v>0</v>
      </c>
      <c r="K96" s="26" t="str">
        <f>VLOOKUP(A96,'[1]MS Progress'!$A:$Q,6,FALSE)</f>
        <v>100%</v>
      </c>
      <c r="L96" s="18"/>
    </row>
    <row r="97" spans="1:12" ht="14.25" customHeight="1" x14ac:dyDescent="0.25">
      <c r="A97" s="25" t="str">
        <f>'[1]ALC-Master'!A97</f>
        <v>A1030.4.3</v>
      </c>
      <c r="B97" s="25" t="str">
        <f>'[1]ALC-Master'!C97</f>
        <v>AD3 Weighbridge System Package (Rev 0a) Review (1st Round)</v>
      </c>
      <c r="C97" s="20">
        <f>[1]ALC!G97</f>
        <v>3.4416951036724604E-4</v>
      </c>
      <c r="D97" s="21">
        <f>[1]ALC!D97</f>
        <v>44763</v>
      </c>
      <c r="E97" s="22">
        <f>[1]ALC!E97</f>
        <v>44764</v>
      </c>
      <c r="F97" s="23">
        <v>1</v>
      </c>
      <c r="G97" s="23" t="str">
        <f t="shared" si="13"/>
        <v>100%</v>
      </c>
      <c r="H97" s="17">
        <f t="shared" si="14"/>
        <v>3.4416951036724604E-4</v>
      </c>
      <c r="I97" s="17">
        <v>3.4416951036724604E-4</v>
      </c>
      <c r="J97" s="17">
        <f t="shared" si="15"/>
        <v>0</v>
      </c>
      <c r="K97" s="26" t="str">
        <f>VLOOKUP(A97,'[1]MS Progress'!$A:$Q,6,FALSE)</f>
        <v>100%</v>
      </c>
      <c r="L97" s="18"/>
    </row>
    <row r="98" spans="1:12" ht="14.25" customHeight="1" x14ac:dyDescent="0.25">
      <c r="A98" s="25" t="str">
        <f>'[1]ALC-Master'!A98</f>
        <v>A1030.4.4</v>
      </c>
      <c r="B98" s="25" t="str">
        <f>'[1]ALC-Master'!C98</f>
        <v>AD3 Weighbridge System Package (Rev 0a) ALC Ammendment (1st Round)</v>
      </c>
      <c r="C98" s="20">
        <f>[1]ALC!G98</f>
        <v>3.0975255933052147E-3</v>
      </c>
      <c r="D98" s="21">
        <f>[1]ALC!D98</f>
        <v>44764</v>
      </c>
      <c r="E98" s="22">
        <f>[1]ALC!E98</f>
        <v>44770</v>
      </c>
      <c r="F98" s="23">
        <v>1</v>
      </c>
      <c r="G98" s="23" t="str">
        <f t="shared" si="13"/>
        <v>100%</v>
      </c>
      <c r="H98" s="17">
        <f t="shared" si="14"/>
        <v>3.0975255933052147E-3</v>
      </c>
      <c r="I98" s="17">
        <v>3.0975255933052147E-3</v>
      </c>
      <c r="J98" s="17">
        <f t="shared" si="15"/>
        <v>0</v>
      </c>
      <c r="K98" s="26" t="str">
        <f>VLOOKUP(A98,'[1]MS Progress'!$A:$Q,6,FALSE)</f>
        <v>100%</v>
      </c>
      <c r="L98" s="18"/>
    </row>
    <row r="99" spans="1:12" ht="14.25" customHeight="1" x14ac:dyDescent="0.25">
      <c r="A99" s="25" t="str">
        <f>'[1]ALC-Master'!A99</f>
        <v>A1030.4.5</v>
      </c>
      <c r="B99" s="25" t="str">
        <f>'[1]ALC-Master'!C99</f>
        <v>AD3 Weighbridge System Package (Rev 0b) Review (2nd Round)</v>
      </c>
      <c r="C99" s="20">
        <f>[1]ALC!G99</f>
        <v>1.3766780414689842E-3</v>
      </c>
      <c r="D99" s="21">
        <f>[1]ALC!D99</f>
        <v>44771</v>
      </c>
      <c r="E99" s="22">
        <f>[1]ALC!E99</f>
        <v>44809</v>
      </c>
      <c r="F99" s="23">
        <v>1</v>
      </c>
      <c r="G99" s="23" t="str">
        <f t="shared" si="13"/>
        <v>100%</v>
      </c>
      <c r="H99" s="17">
        <f t="shared" si="14"/>
        <v>1.3766780414689842E-3</v>
      </c>
      <c r="I99" s="17">
        <v>1.3766780414689842E-3</v>
      </c>
      <c r="J99" s="17">
        <f t="shared" si="15"/>
        <v>0</v>
      </c>
      <c r="K99" s="26" t="str">
        <f>VLOOKUP(A99,'[1]MS Progress'!$A:$Q,6,FALSE)</f>
        <v>100%</v>
      </c>
      <c r="L99" s="18"/>
    </row>
    <row r="100" spans="1:12" ht="14.25" customHeight="1" x14ac:dyDescent="0.25">
      <c r="A100" s="25" t="str">
        <f>'[1]ALC-Master'!A100</f>
        <v>A1030.4.6</v>
      </c>
      <c r="B100" s="25" t="str">
        <f>'[1]ALC-Master'!C100</f>
        <v>AD3 Weighbridge System Package (Rev 0b) ALC Ammendment (2nd Round)</v>
      </c>
      <c r="C100" s="20">
        <f>[1]ALC!G100</f>
        <v>3.4416951036724604E-4</v>
      </c>
      <c r="D100" s="21">
        <f>[1]ALC!D100</f>
        <v>44811</v>
      </c>
      <c r="E100" s="22">
        <f>[1]ALC!E100</f>
        <v>44818</v>
      </c>
      <c r="F100" s="23">
        <v>1</v>
      </c>
      <c r="G100" s="23" t="str">
        <f t="shared" si="13"/>
        <v>100%</v>
      </c>
      <c r="H100" s="17">
        <f t="shared" si="14"/>
        <v>3.4416951036724604E-4</v>
      </c>
      <c r="I100" s="17">
        <v>3.4416951036724604E-4</v>
      </c>
      <c r="J100" s="17">
        <f t="shared" si="15"/>
        <v>0</v>
      </c>
      <c r="K100" s="26" t="str">
        <f>VLOOKUP(A100,'[1]MS Progress'!$A:$Q,6,FALSE)</f>
        <v>100%</v>
      </c>
      <c r="L100" s="18"/>
    </row>
    <row r="101" spans="1:12" ht="14.25" customHeight="1" x14ac:dyDescent="0.25">
      <c r="A101" s="25" t="str">
        <f>'[1]ALC-Master'!A101</f>
        <v>A1030.4.7</v>
      </c>
      <c r="B101" s="25" t="str">
        <f>'[1]ALC-Master'!C101</f>
        <v>AD3 Weighbridge System Package (Rev 0) Review by SO/ NEA</v>
      </c>
      <c r="C101" s="20">
        <f>[1]ALC!G101</f>
        <v>0</v>
      </c>
      <c r="D101" s="21">
        <f>[1]ALC!D101</f>
        <v>44818</v>
      </c>
      <c r="E101" s="22">
        <f>[1]ALC!E101</f>
        <v>44831</v>
      </c>
      <c r="F101" s="23">
        <v>1</v>
      </c>
      <c r="G101" s="23" t="str">
        <f t="shared" si="13"/>
        <v>100%</v>
      </c>
      <c r="H101" s="17">
        <f t="shared" si="14"/>
        <v>0</v>
      </c>
      <c r="I101" s="17">
        <v>0</v>
      </c>
      <c r="J101" s="17">
        <f t="shared" si="15"/>
        <v>0</v>
      </c>
      <c r="K101" s="26" t="str">
        <f>VLOOKUP(A101,'[1]MS Progress'!$A:$Q,6,FALSE)</f>
        <v>100%</v>
      </c>
      <c r="L101" s="18"/>
    </row>
    <row r="102" spans="1:12" ht="14.25" customHeight="1" x14ac:dyDescent="0.25">
      <c r="A102" s="25" t="str">
        <f>'[1]ALC-Master'!A102</f>
        <v>A1030.4.8</v>
      </c>
      <c r="B102" s="25" t="str">
        <f>'[1]ALC-Master'!C102</f>
        <v>AD3 Weighbridge System Package (Rev 1a) Ammendment by ALC on SO comments and Re-submission to KSPL</v>
      </c>
      <c r="C102" s="20">
        <f>[1]ALC!G102</f>
        <v>6.3671359417940519E-3</v>
      </c>
      <c r="D102" s="21">
        <f>[1]ALC!D102</f>
        <v>44833</v>
      </c>
      <c r="E102" s="22">
        <f>[1]ALC!E102</f>
        <v>44838</v>
      </c>
      <c r="F102" s="23">
        <v>1</v>
      </c>
      <c r="G102" s="23" t="str">
        <f t="shared" si="13"/>
        <v>100%</v>
      </c>
      <c r="H102" s="17">
        <f t="shared" si="14"/>
        <v>6.3671359417940519E-3</v>
      </c>
      <c r="I102" s="17">
        <v>6.3671359417940519E-3</v>
      </c>
      <c r="J102" s="17">
        <f t="shared" si="15"/>
        <v>0</v>
      </c>
      <c r="K102" s="26" t="str">
        <f>VLOOKUP(A102,'[1]MS Progress'!$A:$Q,6,FALSE)</f>
        <v>100%</v>
      </c>
      <c r="L102" s="18"/>
    </row>
    <row r="103" spans="1:12" ht="14.25" customHeight="1" x14ac:dyDescent="0.25">
      <c r="A103" s="25" t="str">
        <f>'[1]ALC-Master'!A103</f>
        <v>A1030.4.9</v>
      </c>
      <c r="B103" s="25" t="str">
        <f>'[1]ALC-Master'!C103</f>
        <v>AD3 Weighbridge System Package (Rev 1a) Review (1st Round)</v>
      </c>
      <c r="C103" s="20">
        <f>[1]ALC!G103</f>
        <v>3.4416951036724606E-3</v>
      </c>
      <c r="D103" s="21">
        <f>[1]ALC!D103</f>
        <v>44839</v>
      </c>
      <c r="E103" s="22">
        <f>[1]ALC!E103</f>
        <v>44895</v>
      </c>
      <c r="F103" s="23">
        <v>1</v>
      </c>
      <c r="G103" s="23" t="str">
        <f t="shared" si="13"/>
        <v>100%</v>
      </c>
      <c r="H103" s="17">
        <f t="shared" si="14"/>
        <v>3.4416951036724606E-3</v>
      </c>
      <c r="I103" s="17">
        <v>3.4416951036724606E-3</v>
      </c>
      <c r="J103" s="17">
        <f t="shared" si="15"/>
        <v>0</v>
      </c>
      <c r="K103" s="26" t="str">
        <f>VLOOKUP(A103,'[1]MS Progress'!$A:$Q,6,FALSE)</f>
        <v>100%</v>
      </c>
      <c r="L103" s="18"/>
    </row>
    <row r="104" spans="1:12" ht="14.25" customHeight="1" x14ac:dyDescent="0.25">
      <c r="A104" s="25" t="str">
        <f>'[1]ALC-Master'!A104</f>
        <v>A1030.4.10</v>
      </c>
      <c r="B104" s="25" t="str">
        <f>'[1]ALC-Master'!C104</f>
        <v>AD3 Weighbridge System Package (Rev 1a) ALC Ammendment (1st Round)</v>
      </c>
      <c r="C104" s="20">
        <f>[1]ALC!G104</f>
        <v>4.3021188795905755E-3</v>
      </c>
      <c r="D104" s="21">
        <f>[1]ALC!D104</f>
        <v>44896</v>
      </c>
      <c r="E104" s="22">
        <f>[1]ALC!E104</f>
        <v>44925</v>
      </c>
      <c r="F104" s="23">
        <v>1</v>
      </c>
      <c r="G104" s="23" t="str">
        <f t="shared" si="13"/>
        <v>100%</v>
      </c>
      <c r="H104" s="17">
        <f t="shared" si="14"/>
        <v>4.3021188795905755E-3</v>
      </c>
      <c r="I104" s="17">
        <v>4.3021188795905755E-3</v>
      </c>
      <c r="J104" s="17">
        <f t="shared" si="15"/>
        <v>0</v>
      </c>
      <c r="K104" s="26" t="str">
        <f>VLOOKUP(A104,'[1]MS Progress'!$A:$Q,6,FALSE)</f>
        <v>100%</v>
      </c>
      <c r="L104" s="18"/>
    </row>
    <row r="105" spans="1:12" ht="14.25" customHeight="1" x14ac:dyDescent="0.25">
      <c r="A105" s="25" t="str">
        <f>'[1]ALC-Master'!A105</f>
        <v>A1030.4.11</v>
      </c>
      <c r="B105" s="25" t="str">
        <f>'[1]ALC-Master'!C105</f>
        <v>AD3 Weighbridge System Package (Rev 1b) Review (2nd Round)</v>
      </c>
      <c r="C105" s="20">
        <f>[1]ALC!G105</f>
        <v>1.2045932862853612E-3</v>
      </c>
      <c r="D105" s="21">
        <f>[1]ALC!D105</f>
        <v>44926</v>
      </c>
      <c r="E105" s="22">
        <f>[1]ALC!E105</f>
        <v>44935</v>
      </c>
      <c r="F105" s="23">
        <v>1</v>
      </c>
      <c r="G105" s="23" t="str">
        <f t="shared" si="13"/>
        <v>100%</v>
      </c>
      <c r="H105" s="17">
        <f t="shared" si="14"/>
        <v>1.2045932862853612E-3</v>
      </c>
      <c r="I105" s="17">
        <v>1.2045932862853612E-3</v>
      </c>
      <c r="J105" s="17">
        <f t="shared" si="15"/>
        <v>0</v>
      </c>
      <c r="K105" s="26" t="str">
        <f>VLOOKUP(A105,'[1]MS Progress'!$A:$Q,6,FALSE)</f>
        <v>100%</v>
      </c>
      <c r="L105" s="18"/>
    </row>
    <row r="106" spans="1:12" ht="14.25" customHeight="1" x14ac:dyDescent="0.25">
      <c r="A106" s="25" t="str">
        <f>'[1]ALC-Master'!A106</f>
        <v>A1030.4.12</v>
      </c>
      <c r="B106" s="25" t="str">
        <f>'[1]ALC-Master'!C106</f>
        <v>AD3 Weighbridge System Package (Rev 1b) ALC Ammendment (2nd Round)</v>
      </c>
      <c r="C106" s="20">
        <f>[1]ALC!G106</f>
        <v>6.8833902073449208E-4</v>
      </c>
      <c r="D106" s="21">
        <f>[1]ALC!D106</f>
        <v>44936</v>
      </c>
      <c r="E106" s="22">
        <f>[1]ALC!E106</f>
        <v>44939</v>
      </c>
      <c r="F106" s="23">
        <v>1</v>
      </c>
      <c r="G106" s="23" t="str">
        <f t="shared" si="13"/>
        <v>100%</v>
      </c>
      <c r="H106" s="17">
        <f t="shared" si="14"/>
        <v>6.8833902073449208E-4</v>
      </c>
      <c r="I106" s="17">
        <v>6.8833902073449208E-4</v>
      </c>
      <c r="J106" s="17">
        <f t="shared" si="15"/>
        <v>0</v>
      </c>
      <c r="K106" s="26" t="str">
        <f>VLOOKUP(A106,'[1]MS Progress'!$A:$Q,6,FALSE)</f>
        <v>100%</v>
      </c>
      <c r="L106" s="18"/>
    </row>
    <row r="107" spans="1:12" ht="14.25" customHeight="1" x14ac:dyDescent="0.25">
      <c r="A107" s="25" t="str">
        <f>'[1]ALC-Master'!A107</f>
        <v>A1030.4.13</v>
      </c>
      <c r="B107" s="25" t="str">
        <f>'[1]ALC-Master'!C107</f>
        <v>AD3 Weighbridge System Package (Rev 1) Review by SO/ NEA</v>
      </c>
      <c r="C107" s="20">
        <f>[1]ALC!G107</f>
        <v>0</v>
      </c>
      <c r="D107" s="21">
        <f>[1]ALC!D107</f>
        <v>44940</v>
      </c>
      <c r="E107" s="22">
        <f>[1]ALC!E107</f>
        <v>44961</v>
      </c>
      <c r="F107" s="23">
        <v>1</v>
      </c>
      <c r="G107" s="23" t="str">
        <f t="shared" si="13"/>
        <v>100%</v>
      </c>
      <c r="H107" s="17">
        <f t="shared" si="14"/>
        <v>0</v>
      </c>
      <c r="I107" s="17">
        <v>0</v>
      </c>
      <c r="J107" s="17">
        <f t="shared" si="15"/>
        <v>0</v>
      </c>
      <c r="K107" s="26" t="str">
        <f>VLOOKUP(A107,'[1]MS Progress'!$A:$Q,6,FALSE)</f>
        <v>100%</v>
      </c>
      <c r="L107" s="18"/>
    </row>
    <row r="108" spans="1:12" ht="14.25" customHeight="1" x14ac:dyDescent="0.25">
      <c r="A108" s="25" t="str">
        <f>'[1]ALC-Master'!A108</f>
        <v>A1030.4.14</v>
      </c>
      <c r="B108" s="25" t="str">
        <f>'[1]ALC-Master'!C108</f>
        <v>AD3 Weighbridge System Package (Review 2 and above monitored accepted with comments, No Re-submission Required)</v>
      </c>
      <c r="C108" s="20">
        <f>[1]ALC!G108</f>
        <v>2.7533560829379683E-3</v>
      </c>
      <c r="D108" s="21">
        <f>[1]ALC!D108</f>
        <v>45098</v>
      </c>
      <c r="E108" s="22">
        <f>[1]ALC!E108</f>
        <v>45117</v>
      </c>
      <c r="F108" s="23">
        <v>1</v>
      </c>
      <c r="G108" s="23" t="str">
        <f t="shared" si="13"/>
        <v>100%</v>
      </c>
      <c r="H108" s="17">
        <f t="shared" si="14"/>
        <v>2.7533560829379683E-3</v>
      </c>
      <c r="I108" s="17">
        <v>2.7533560829379683E-3</v>
      </c>
      <c r="J108" s="17">
        <f t="shared" si="15"/>
        <v>0</v>
      </c>
      <c r="K108" s="26" t="str">
        <f>VLOOKUP(A108,'[1]MS Progress'!$A:$Q,6,FALSE)</f>
        <v>100%</v>
      </c>
      <c r="L108" s="18"/>
    </row>
    <row r="109" spans="1:12" ht="14.25" customHeight="1" x14ac:dyDescent="0.25">
      <c r="A109" s="25" t="str">
        <f>'[1]ALC-Master'!A109</f>
        <v>A1085</v>
      </c>
      <c r="B109" s="25" t="str">
        <f>'[1]ALC-Master'!C109</f>
        <v>Traffic Modelling</v>
      </c>
      <c r="C109" s="20"/>
      <c r="D109" s="21"/>
      <c r="E109" s="22"/>
      <c r="F109" s="23"/>
      <c r="G109" s="23"/>
      <c r="H109" s="17"/>
      <c r="I109" s="17"/>
      <c r="J109" s="17"/>
      <c r="K109" s="18"/>
      <c r="L109" s="18"/>
    </row>
    <row r="110" spans="1:12" ht="14.25" customHeight="1" x14ac:dyDescent="0.25">
      <c r="A110" s="25" t="str">
        <f>'[1]ALC-Master'!A110</f>
        <v>A1085.T.01</v>
      </c>
      <c r="B110" s="25" t="str">
        <f>'[1]ALC-Master'!C110</f>
        <v>Award Traffic Modelling Consultant</v>
      </c>
      <c r="C110" s="20">
        <f>[1]ALC!G110</f>
        <v>1.7208475518362302E-4</v>
      </c>
      <c r="D110" s="21">
        <f>[1]ALC!D110</f>
        <v>44599</v>
      </c>
      <c r="E110" s="22">
        <f>[1]ALC!E110</f>
        <v>44599</v>
      </c>
      <c r="F110" s="23">
        <v>1</v>
      </c>
      <c r="G110" s="23" t="str">
        <f t="shared" ref="G110:G127" si="16">K110</f>
        <v>100%</v>
      </c>
      <c r="H110" s="17">
        <f t="shared" ref="H110:H127" si="17">(G110/F110)*C110</f>
        <v>1.7208475518362302E-4</v>
      </c>
      <c r="I110" s="17">
        <v>1.7208475518362302E-4</v>
      </c>
      <c r="J110" s="17">
        <f t="shared" ref="J110:J127" si="18">H110-I110</f>
        <v>0</v>
      </c>
      <c r="K110" s="26" t="str">
        <f>VLOOKUP(A110,'[1]MS Progress'!$A:$Q,6,FALSE)</f>
        <v>100%</v>
      </c>
      <c r="L110" s="18"/>
    </row>
    <row r="111" spans="1:12" ht="14.25" customHeight="1" x14ac:dyDescent="0.25">
      <c r="A111" s="25" t="str">
        <f>'[1]ALC-Master'!A111</f>
        <v>A1085.T.02</v>
      </c>
      <c r="B111" s="25" t="str">
        <f>'[1]ALC-Master'!C111</f>
        <v>Kick-off Meeting</v>
      </c>
      <c r="C111" s="20">
        <f>[1]ALC!G111</f>
        <v>2.6845221808645192E-4</v>
      </c>
      <c r="D111" s="21">
        <f>[1]ALC!D111</f>
        <v>44614</v>
      </c>
      <c r="E111" s="22">
        <f>[1]ALC!E111</f>
        <v>44615</v>
      </c>
      <c r="F111" s="23">
        <v>1</v>
      </c>
      <c r="G111" s="23" t="str">
        <f t="shared" si="16"/>
        <v>100%</v>
      </c>
      <c r="H111" s="17">
        <f t="shared" si="17"/>
        <v>2.6845221808645192E-4</v>
      </c>
      <c r="I111" s="17">
        <v>2.6845221808645192E-4</v>
      </c>
      <c r="J111" s="17">
        <f t="shared" si="18"/>
        <v>0</v>
      </c>
      <c r="K111" s="26" t="str">
        <f>VLOOKUP(A111,'[1]MS Progress'!$A:$Q,6,FALSE)</f>
        <v>100%</v>
      </c>
      <c r="L111" s="18"/>
    </row>
    <row r="112" spans="1:12" ht="14.25" customHeight="1" x14ac:dyDescent="0.25">
      <c r="A112" s="25" t="str">
        <f>'[1]ALC-Master'!A112</f>
        <v>A1085.T.03</v>
      </c>
      <c r="B112" s="25" t="str">
        <f>'[1]ALC-Master'!C112</f>
        <v>First round of model findings in slides [Rev 0a]</v>
      </c>
      <c r="C112" s="20">
        <f>[1]ALC!G112</f>
        <v>4.8183731451414448E-3</v>
      </c>
      <c r="D112" s="21">
        <f>[1]ALC!D112</f>
        <v>44616</v>
      </c>
      <c r="E112" s="22">
        <f>[1]ALC!E112</f>
        <v>44648</v>
      </c>
      <c r="F112" s="23">
        <v>1</v>
      </c>
      <c r="G112" s="23" t="str">
        <f t="shared" si="16"/>
        <v>100%</v>
      </c>
      <c r="H112" s="17">
        <f t="shared" si="17"/>
        <v>4.8183731451414448E-3</v>
      </c>
      <c r="I112" s="17">
        <v>4.8183731451414448E-3</v>
      </c>
      <c r="J112" s="17">
        <f t="shared" si="18"/>
        <v>0</v>
      </c>
      <c r="K112" s="26" t="str">
        <f>VLOOKUP(A112,'[1]MS Progress'!$A:$Q,6,FALSE)</f>
        <v>100%</v>
      </c>
      <c r="L112" s="18"/>
    </row>
    <row r="113" spans="1:12" ht="14.25" customHeight="1" x14ac:dyDescent="0.25">
      <c r="A113" s="25" t="str">
        <f>'[1]ALC-Master'!A113</f>
        <v>A1085.T.04</v>
      </c>
      <c r="B113" s="25" t="str">
        <f>'[1]ALC-Master'!C113</f>
        <v>Comments on Rev 0a findings (allowing time for possible discussion and presentation)</v>
      </c>
      <c r="C113" s="20">
        <f>[1]ALC!G113</f>
        <v>1.2045932862853612E-3</v>
      </c>
      <c r="D113" s="21">
        <f>[1]ALC!D113</f>
        <v>44649</v>
      </c>
      <c r="E113" s="22">
        <f>[1]ALC!E113</f>
        <v>44656</v>
      </c>
      <c r="F113" s="23">
        <v>1</v>
      </c>
      <c r="G113" s="23" t="str">
        <f t="shared" si="16"/>
        <v>100%</v>
      </c>
      <c r="H113" s="17">
        <f t="shared" si="17"/>
        <v>1.2045932862853612E-3</v>
      </c>
      <c r="I113" s="17">
        <v>1.2045932862853612E-3</v>
      </c>
      <c r="J113" s="17">
        <f t="shared" si="18"/>
        <v>0</v>
      </c>
      <c r="K113" s="26" t="str">
        <f>VLOOKUP(A113,'[1]MS Progress'!$A:$Q,6,FALSE)</f>
        <v>100%</v>
      </c>
      <c r="L113" s="18"/>
    </row>
    <row r="114" spans="1:12" ht="14.25" customHeight="1" x14ac:dyDescent="0.25">
      <c r="A114" s="25" t="str">
        <f>'[1]ALC-Master'!A114</f>
        <v>A1085.T.05</v>
      </c>
      <c r="B114" s="25" t="str">
        <f>'[1]ALC-Master'!C114</f>
        <v>Second round of model findings in slides [Rev 0b]</v>
      </c>
      <c r="C114" s="20">
        <f>[1]ALC!G114</f>
        <v>3.4416951036724604E-4</v>
      </c>
      <c r="D114" s="21">
        <f>[1]ALC!D114</f>
        <v>44657</v>
      </c>
      <c r="E114" s="22">
        <f>[1]ALC!E114</f>
        <v>44658</v>
      </c>
      <c r="F114" s="23">
        <v>1</v>
      </c>
      <c r="G114" s="23" t="str">
        <f t="shared" si="16"/>
        <v>100%</v>
      </c>
      <c r="H114" s="17">
        <f t="shared" si="17"/>
        <v>3.4416951036724604E-4</v>
      </c>
      <c r="I114" s="17">
        <v>3.4416951036724604E-4</v>
      </c>
      <c r="J114" s="17">
        <f t="shared" si="18"/>
        <v>0</v>
      </c>
      <c r="K114" s="26" t="str">
        <f>VLOOKUP(A114,'[1]MS Progress'!$A:$Q,6,FALSE)</f>
        <v>100%</v>
      </c>
      <c r="L114" s="18"/>
    </row>
    <row r="115" spans="1:12" ht="14.25" customHeight="1" x14ac:dyDescent="0.25">
      <c r="A115" s="25" t="str">
        <f>'[1]ALC-Master'!A115</f>
        <v>A1085.T.06</v>
      </c>
      <c r="B115" s="25" t="str">
        <f>'[1]ALC-Master'!C115</f>
        <v>Submit to SO/ NEA [Rev 0]</v>
      </c>
      <c r="C115" s="20">
        <f>[1]ALC!G115</f>
        <v>1.0669254821384628E-2</v>
      </c>
      <c r="D115" s="21">
        <f>[1]ALC!D115</f>
        <v>44659</v>
      </c>
      <c r="E115" s="22">
        <f>[1]ALC!E115</f>
        <v>44734</v>
      </c>
      <c r="F115" s="23">
        <v>1</v>
      </c>
      <c r="G115" s="23" t="str">
        <f t="shared" si="16"/>
        <v>100%</v>
      </c>
      <c r="H115" s="17">
        <f t="shared" si="17"/>
        <v>1.0669254821384628E-2</v>
      </c>
      <c r="I115" s="17">
        <v>1.0669254821384628E-2</v>
      </c>
      <c r="J115" s="17">
        <f t="shared" si="18"/>
        <v>0</v>
      </c>
      <c r="K115" s="26" t="str">
        <f>VLOOKUP(A115,'[1]MS Progress'!$A:$Q,6,FALSE)</f>
        <v>100%</v>
      </c>
      <c r="L115" s="18"/>
    </row>
    <row r="116" spans="1:12" ht="14.25" customHeight="1" x14ac:dyDescent="0.25">
      <c r="A116" s="25" t="str">
        <f>'[1]ALC-Master'!A116</f>
        <v>A1085.T.07</v>
      </c>
      <c r="B116" s="25" t="str">
        <f>'[1]ALC-Master'!C116</f>
        <v>Third round of model findings in slides [Rev 1a]</v>
      </c>
      <c r="C116" s="20">
        <f>[1]ALC!G116</f>
        <v>2.2906201762492064E-2</v>
      </c>
      <c r="D116" s="21">
        <f>[1]ALC!D116</f>
        <v>44735</v>
      </c>
      <c r="E116" s="22">
        <f>[1]ALC!E116</f>
        <v>44894</v>
      </c>
      <c r="F116" s="23">
        <v>1</v>
      </c>
      <c r="G116" s="23" t="str">
        <f t="shared" si="16"/>
        <v>100%</v>
      </c>
      <c r="H116" s="17">
        <f t="shared" si="17"/>
        <v>2.2906201762492064E-2</v>
      </c>
      <c r="I116" s="17">
        <v>2.2906201762492064E-2</v>
      </c>
      <c r="J116" s="17">
        <f t="shared" si="18"/>
        <v>0</v>
      </c>
      <c r="K116" s="26" t="str">
        <f>VLOOKUP(A116,'[1]MS Progress'!$A:$Q,6,FALSE)</f>
        <v>100%</v>
      </c>
      <c r="L116" s="18"/>
    </row>
    <row r="117" spans="1:12" ht="14.25" customHeight="1" x14ac:dyDescent="0.25">
      <c r="A117" s="25" t="str">
        <f>'[1]ALC-Master'!A117</f>
        <v>A1085.T.08</v>
      </c>
      <c r="B117" s="25" t="str">
        <f>'[1]ALC-Master'!C117</f>
        <v>Comments on Rev 1a findings (allowing time for possible discussion and presentation)</v>
      </c>
      <c r="C117" s="20">
        <f>[1]ALC!G117</f>
        <v>5.1625426555086912E-4</v>
      </c>
      <c r="D117" s="21">
        <f>[1]ALC!D117</f>
        <v>44834</v>
      </c>
      <c r="E117" s="22">
        <f>[1]ALC!E117</f>
        <v>44837</v>
      </c>
      <c r="F117" s="23">
        <v>1</v>
      </c>
      <c r="G117" s="23" t="str">
        <f t="shared" si="16"/>
        <v>100%</v>
      </c>
      <c r="H117" s="17">
        <f t="shared" si="17"/>
        <v>5.1625426555086912E-4</v>
      </c>
      <c r="I117" s="17">
        <v>5.1625426555086912E-4</v>
      </c>
      <c r="J117" s="17">
        <f t="shared" si="18"/>
        <v>0</v>
      </c>
      <c r="K117" s="26" t="str">
        <f>VLOOKUP(A117,'[1]MS Progress'!$A:$Q,6,FALSE)</f>
        <v>100%</v>
      </c>
      <c r="L117" s="18"/>
    </row>
    <row r="118" spans="1:12" ht="14.25" customHeight="1" x14ac:dyDescent="0.25">
      <c r="A118" s="25" t="str">
        <f>'[1]ALC-Master'!A118</f>
        <v>A1085.T.09</v>
      </c>
      <c r="B118" s="25" t="str">
        <f>'[1]ALC-Master'!C118</f>
        <v>Fourth round of model findings in slides [Rev 1b]</v>
      </c>
      <c r="C118" s="20">
        <f>[1]ALC!G118</f>
        <v>1.2235226093555598E-3</v>
      </c>
      <c r="D118" s="21">
        <f>[1]ALC!D118</f>
        <v>44838</v>
      </c>
      <c r="E118" s="22">
        <f>[1]ALC!E118</f>
        <v>44846</v>
      </c>
      <c r="F118" s="23">
        <v>1</v>
      </c>
      <c r="G118" s="23" t="str">
        <f t="shared" si="16"/>
        <v>100%</v>
      </c>
      <c r="H118" s="17">
        <f t="shared" si="17"/>
        <v>1.2235226093555598E-3</v>
      </c>
      <c r="I118" s="17">
        <v>1.2235226093555598E-3</v>
      </c>
      <c r="J118" s="17">
        <f t="shared" si="18"/>
        <v>0</v>
      </c>
      <c r="K118" s="26" t="str">
        <f>VLOOKUP(A118,'[1]MS Progress'!$A:$Q,6,FALSE)</f>
        <v>100%</v>
      </c>
      <c r="L118" s="18"/>
    </row>
    <row r="119" spans="1:12" ht="14.25" customHeight="1" x14ac:dyDescent="0.25">
      <c r="A119" s="25" t="str">
        <f>'[1]ALC-Master'!A119</f>
        <v>A1085.T.10</v>
      </c>
      <c r="B119" s="25" t="str">
        <f>'[1]ALC-Master'!C119</f>
        <v>Submit to SO/ NEA [Rev 1]</v>
      </c>
      <c r="C119" s="20">
        <f>[1]ALC!G119</f>
        <v>5.8698109993133817E-3</v>
      </c>
      <c r="D119" s="21">
        <f>[1]ALC!D119</f>
        <v>44847</v>
      </c>
      <c r="E119" s="22">
        <f>[1]ALC!E119</f>
        <v>44900</v>
      </c>
      <c r="F119" s="23">
        <v>1</v>
      </c>
      <c r="G119" s="23" t="str">
        <f t="shared" si="16"/>
        <v>100%</v>
      </c>
      <c r="H119" s="17">
        <f t="shared" si="17"/>
        <v>5.8698109993133817E-3</v>
      </c>
      <c r="I119" s="17">
        <v>5.8698109993133817E-3</v>
      </c>
      <c r="J119" s="17">
        <f t="shared" si="18"/>
        <v>0</v>
      </c>
      <c r="K119" s="26" t="str">
        <f>VLOOKUP(A119,'[1]MS Progress'!$A:$Q,6,FALSE)</f>
        <v>100%</v>
      </c>
      <c r="L119" s="18"/>
    </row>
    <row r="120" spans="1:12" ht="14.25" customHeight="1" x14ac:dyDescent="0.25">
      <c r="A120" s="25" t="str">
        <f>'[1]ALC-Master'!A120</f>
        <v>A1085.T.11</v>
      </c>
      <c r="B120" s="25" t="str">
        <f>'[1]ALC-Master'!C120</f>
        <v>Fifth round of model findings in slides [Rev 2a]</v>
      </c>
      <c r="C120" s="20">
        <f>[1]ALC!G120</f>
        <v>1.7208475518362302E-4</v>
      </c>
      <c r="D120" s="21">
        <f>[1]ALC!D120</f>
        <v>44901</v>
      </c>
      <c r="E120" s="22">
        <f>[1]ALC!E120</f>
        <v>44908</v>
      </c>
      <c r="F120" s="23">
        <v>1</v>
      </c>
      <c r="G120" s="23" t="str">
        <f t="shared" si="16"/>
        <v>100%</v>
      </c>
      <c r="H120" s="17">
        <f t="shared" si="17"/>
        <v>1.7208475518362302E-4</v>
      </c>
      <c r="I120" s="17">
        <v>1.7208475518362302E-4</v>
      </c>
      <c r="J120" s="17">
        <f t="shared" si="18"/>
        <v>0</v>
      </c>
      <c r="K120" s="26" t="str">
        <f>VLOOKUP(A120,'[1]MS Progress'!$A:$Q,6,FALSE)</f>
        <v>100%</v>
      </c>
      <c r="L120" s="18"/>
    </row>
    <row r="121" spans="1:12" ht="14.25" customHeight="1" x14ac:dyDescent="0.25">
      <c r="A121" s="25" t="str">
        <f>'[1]ALC-Master'!A121</f>
        <v>A1085.T.12</v>
      </c>
      <c r="B121" s="25" t="str">
        <f>'[1]ALC-Master'!C121</f>
        <v>Comments on Rev 2a findings (allowing time for possible discussion and presentation)</v>
      </c>
      <c r="C121" s="20">
        <f>[1]ALC!G121</f>
        <v>0</v>
      </c>
      <c r="D121" s="21">
        <f>[1]ALC!D121</f>
        <v>44909</v>
      </c>
      <c r="E121" s="22">
        <f>[1]ALC!E121</f>
        <v>44918</v>
      </c>
      <c r="F121" s="23">
        <v>1</v>
      </c>
      <c r="G121" s="23" t="str">
        <f t="shared" si="16"/>
        <v>100%</v>
      </c>
      <c r="H121" s="17">
        <f t="shared" si="17"/>
        <v>0</v>
      </c>
      <c r="I121" s="17">
        <v>0</v>
      </c>
      <c r="J121" s="17">
        <f t="shared" si="18"/>
        <v>0</v>
      </c>
      <c r="K121" s="26" t="str">
        <f>VLOOKUP(A121,'[1]MS Progress'!$A:$Q,6,FALSE)</f>
        <v>100%</v>
      </c>
      <c r="L121" s="18"/>
    </row>
    <row r="122" spans="1:12" ht="14.25" customHeight="1" x14ac:dyDescent="0.25">
      <c r="A122" s="25" t="str">
        <f>'[1]ALC-Master'!A122</f>
        <v>A1085.T.13</v>
      </c>
      <c r="B122" s="25" t="str">
        <f>'[1]ALC-Master'!C122</f>
        <v>Sixth round of model findings in slides [Rev 2b]</v>
      </c>
      <c r="C122" s="20">
        <f>[1]ALC!G122</f>
        <v>0</v>
      </c>
      <c r="D122" s="21">
        <f>[1]ALC!D122</f>
        <v>44919</v>
      </c>
      <c r="E122" s="22">
        <f>[1]ALC!E122</f>
        <v>44929</v>
      </c>
      <c r="F122" s="23">
        <v>1</v>
      </c>
      <c r="G122" s="23" t="str">
        <f t="shared" si="16"/>
        <v>100%</v>
      </c>
      <c r="H122" s="17">
        <f t="shared" si="17"/>
        <v>0</v>
      </c>
      <c r="I122" s="17">
        <v>0</v>
      </c>
      <c r="J122" s="17">
        <f t="shared" si="18"/>
        <v>0</v>
      </c>
      <c r="K122" s="26" t="str">
        <f>VLOOKUP(A122,'[1]MS Progress'!$A:$Q,6,FALSE)</f>
        <v>100%</v>
      </c>
      <c r="L122" s="18"/>
    </row>
    <row r="123" spans="1:12" ht="14.25" customHeight="1" x14ac:dyDescent="0.25">
      <c r="A123" s="25" t="str">
        <f>'[1]ALC-Master'!A123</f>
        <v>A1085.T.14</v>
      </c>
      <c r="B123" s="25" t="str">
        <f>'[1]ALC-Master'!C123</f>
        <v>Submit to SO/ NEA [Rev 2]</v>
      </c>
      <c r="C123" s="20">
        <f>[1]ALC!G123</f>
        <v>0</v>
      </c>
      <c r="D123" s="21">
        <f>[1]ALC!D123</f>
        <v>44930</v>
      </c>
      <c r="E123" s="22">
        <f>[1]ALC!E123</f>
        <v>44940</v>
      </c>
      <c r="F123" s="23">
        <v>1</v>
      </c>
      <c r="G123" s="23" t="str">
        <f t="shared" si="16"/>
        <v>100%</v>
      </c>
      <c r="H123" s="17">
        <f t="shared" si="17"/>
        <v>0</v>
      </c>
      <c r="I123" s="17">
        <v>0</v>
      </c>
      <c r="J123" s="17">
        <f t="shared" si="18"/>
        <v>0</v>
      </c>
      <c r="K123" s="26" t="str">
        <f>VLOOKUP(A123,'[1]MS Progress'!$A:$Q,6,FALSE)</f>
        <v>100%</v>
      </c>
      <c r="L123" s="18"/>
    </row>
    <row r="124" spans="1:12" ht="14.25" customHeight="1" x14ac:dyDescent="0.25">
      <c r="A124" s="25" t="str">
        <f>'[1]ALC-Master'!A124</f>
        <v>A1085.T.15</v>
      </c>
      <c r="B124" s="25" t="str">
        <f>'[1]ALC-Master'!C124</f>
        <v>Final Model findings report</v>
      </c>
      <c r="C124" s="20">
        <f>[1]ALC!G124</f>
        <v>1.8929323070198533E-3</v>
      </c>
      <c r="D124" s="21">
        <f>[1]ALC!D124</f>
        <v>44942</v>
      </c>
      <c r="E124" s="22">
        <f>[1]ALC!E124</f>
        <v>44947</v>
      </c>
      <c r="F124" s="23">
        <v>1</v>
      </c>
      <c r="G124" s="23" t="str">
        <f t="shared" si="16"/>
        <v>100%</v>
      </c>
      <c r="H124" s="17">
        <f t="shared" si="17"/>
        <v>1.8929323070198533E-3</v>
      </c>
      <c r="I124" s="17">
        <v>1.8929323070198533E-3</v>
      </c>
      <c r="J124" s="17">
        <f t="shared" si="18"/>
        <v>0</v>
      </c>
      <c r="K124" s="26" t="str">
        <f>VLOOKUP(A124,'[1]MS Progress'!$A:$Q,6,FALSE)</f>
        <v>100%</v>
      </c>
      <c r="L124" s="18"/>
    </row>
    <row r="125" spans="1:12" ht="14.25" customHeight="1" x14ac:dyDescent="0.25">
      <c r="A125" s="25" t="str">
        <f>'[1]ALC-Master'!A125</f>
        <v>A1085.T.16</v>
      </c>
      <c r="B125" s="25" t="str">
        <f>'[1]ALC-Master'!C125</f>
        <v>Final presentation / confirmation on findings</v>
      </c>
      <c r="C125" s="20">
        <f>[1]ALC!G125</f>
        <v>2.5640628522359831E-2</v>
      </c>
      <c r="D125" s="21">
        <f>[1]ALC!D125</f>
        <v>44951</v>
      </c>
      <c r="E125" s="22">
        <f>[1]ALC!E125</f>
        <v>44960</v>
      </c>
      <c r="F125" s="23">
        <v>1</v>
      </c>
      <c r="G125" s="23" t="str">
        <f t="shared" si="16"/>
        <v>100%</v>
      </c>
      <c r="H125" s="17">
        <f t="shared" si="17"/>
        <v>2.5640628522359831E-2</v>
      </c>
      <c r="I125" s="17">
        <v>2.5640628522359831E-2</v>
      </c>
      <c r="J125" s="17">
        <f t="shared" si="18"/>
        <v>0</v>
      </c>
      <c r="K125" s="26" t="str">
        <f>VLOOKUP(A125,'[1]MS Progress'!$A:$Q,6,FALSE)</f>
        <v>100%</v>
      </c>
      <c r="L125" s="18"/>
    </row>
    <row r="126" spans="1:12" ht="14.25" customHeight="1" x14ac:dyDescent="0.25">
      <c r="A126" s="25" t="str">
        <f>'[1]ALC-Master'!A126</f>
        <v>A1085.T.17</v>
      </c>
      <c r="B126" s="25" t="str">
        <f>'[1]ALC-Master'!C126</f>
        <v>Comments on final report</v>
      </c>
      <c r="C126" s="20">
        <f>[1]ALC!G126</f>
        <v>8.4321530039975293E-3</v>
      </c>
      <c r="D126" s="21">
        <f>[1]ALC!D126</f>
        <v>44963</v>
      </c>
      <c r="E126" s="22">
        <f>[1]ALC!E126</f>
        <v>44965</v>
      </c>
      <c r="F126" s="23">
        <v>1</v>
      </c>
      <c r="G126" s="23" t="str">
        <f t="shared" si="16"/>
        <v>100%</v>
      </c>
      <c r="H126" s="17">
        <f t="shared" si="17"/>
        <v>8.4321530039975293E-3</v>
      </c>
      <c r="I126" s="17">
        <v>8.4321530039975293E-3</v>
      </c>
      <c r="J126" s="17">
        <f t="shared" si="18"/>
        <v>0</v>
      </c>
      <c r="K126" s="26" t="str">
        <f>VLOOKUP(A126,'[1]MS Progress'!$A:$Q,6,FALSE)</f>
        <v>100%</v>
      </c>
      <c r="L126" s="18"/>
    </row>
    <row r="127" spans="1:12" ht="14.25" customHeight="1" x14ac:dyDescent="0.25">
      <c r="A127" s="25" t="str">
        <f>'[1]ALC-Master'!A127</f>
        <v>A1085.T.18</v>
      </c>
      <c r="B127" s="25" t="str">
        <f>'[1]ALC-Master'!C127</f>
        <v>Submit &amp; Confirmation of final report by SO/NEA</v>
      </c>
      <c r="C127" s="20">
        <f>[1]ALC!G127</f>
        <v>6.8833902073449208E-4</v>
      </c>
      <c r="D127" s="21">
        <f>[1]ALC!D127</f>
        <v>44966</v>
      </c>
      <c r="E127" s="22">
        <f>[1]ALC!E127</f>
        <v>44970</v>
      </c>
      <c r="F127" s="23">
        <v>1</v>
      </c>
      <c r="G127" s="23" t="str">
        <f t="shared" si="16"/>
        <v>100%</v>
      </c>
      <c r="H127" s="17">
        <f t="shared" si="17"/>
        <v>6.8833902073449208E-4</v>
      </c>
      <c r="I127" s="17">
        <v>6.8833902073449208E-4</v>
      </c>
      <c r="J127" s="17">
        <f t="shared" si="18"/>
        <v>0</v>
      </c>
      <c r="K127" s="26" t="str">
        <f>VLOOKUP(A127,'[1]MS Progress'!$A:$Q,6,FALSE)</f>
        <v>100%</v>
      </c>
      <c r="L127" s="18"/>
    </row>
    <row r="128" spans="1:12" ht="14.25" customHeight="1" x14ac:dyDescent="0.25">
      <c r="A128" s="25" t="str">
        <f>'[1]ALC-Master'!A128</f>
        <v>A1050</v>
      </c>
      <c r="B128" s="25" t="str">
        <f>'[1]ALC-Master'!C128</f>
        <v>Procurement</v>
      </c>
      <c r="C128" s="20"/>
      <c r="D128" s="21"/>
      <c r="E128" s="22"/>
      <c r="F128" s="23"/>
      <c r="G128" s="23"/>
      <c r="H128" s="17"/>
      <c r="I128" s="17"/>
      <c r="J128" s="17"/>
      <c r="K128" s="18"/>
      <c r="L128" s="18"/>
    </row>
    <row r="129" spans="1:12" ht="14.25" customHeight="1" x14ac:dyDescent="0.25">
      <c r="A129" s="25" t="str">
        <f>'[1]ALC-Master'!A129</f>
        <v>A1050.P.01</v>
      </c>
      <c r="B129" s="25" t="str">
        <f>'[1]ALC-Master'!C129</f>
        <v>Weighbridges</v>
      </c>
      <c r="C129" s="20">
        <f>[1]ALC!G129</f>
        <v>1.8585153559831289E-2</v>
      </c>
      <c r="D129" s="21">
        <f>[1]ALC!D129</f>
        <v>44799</v>
      </c>
      <c r="E129" s="22">
        <f>[1]ALC!E129</f>
        <v>45000</v>
      </c>
      <c r="F129" s="23">
        <v>1</v>
      </c>
      <c r="G129" s="23" t="str">
        <f t="shared" ref="G129:G143" si="19">K129</f>
        <v>100%</v>
      </c>
      <c r="H129" s="17">
        <f t="shared" ref="H129:H143" si="20">(G129/F129)*C129</f>
        <v>1.8585153559831289E-2</v>
      </c>
      <c r="I129" s="17">
        <v>1.8585153559831289E-2</v>
      </c>
      <c r="J129" s="17">
        <f t="shared" ref="J129:J143" si="21">H129-I129</f>
        <v>0</v>
      </c>
      <c r="K129" s="26" t="str">
        <f>VLOOKUP(A129,'[1]MS Progress'!$A:$Q,6,FALSE)</f>
        <v>100%</v>
      </c>
      <c r="L129" s="18"/>
    </row>
    <row r="130" spans="1:12" ht="14.25" customHeight="1" x14ac:dyDescent="0.25">
      <c r="A130" s="25" t="str">
        <f>'[1]ALC-Master'!A130</f>
        <v>A1050.P.02</v>
      </c>
      <c r="B130" s="25" t="str">
        <f>'[1]ALC-Master'!C130</f>
        <v>Furniture</v>
      </c>
      <c r="C130" s="20">
        <f>[1]ALC!G130</f>
        <v>8.9484072695483977E-3</v>
      </c>
      <c r="D130" s="21">
        <f>[1]ALC!D130</f>
        <v>44971</v>
      </c>
      <c r="E130" s="22">
        <f>[1]ALC!E130</f>
        <v>45031</v>
      </c>
      <c r="F130" s="23">
        <v>1</v>
      </c>
      <c r="G130" s="23" t="str">
        <f t="shared" si="19"/>
        <v>95%</v>
      </c>
      <c r="H130" s="17">
        <f t="shared" si="20"/>
        <v>8.5009869060709772E-3</v>
      </c>
      <c r="I130" s="17">
        <v>8.9484072695483977E-3</v>
      </c>
      <c r="J130" s="17">
        <f t="shared" si="21"/>
        <v>-4.4742036347742049E-4</v>
      </c>
      <c r="K130" s="26" t="str">
        <f>VLOOKUP(A130,'[1]MS Progress'!$A:$Q,6,FALSE)</f>
        <v>95%</v>
      </c>
      <c r="L130" s="18"/>
    </row>
    <row r="131" spans="1:12" ht="14.25" customHeight="1" x14ac:dyDescent="0.25">
      <c r="A131" s="25" t="str">
        <f>'[1]ALC-Master'!A131</f>
        <v>A1050.P.03</v>
      </c>
      <c r="B131" s="25" t="str">
        <f>'[1]ALC-Master'!C131</f>
        <v>UPS &amp; 19" Racks</v>
      </c>
      <c r="C131" s="20">
        <f>[1]ALC!G131</f>
        <v>0</v>
      </c>
      <c r="D131" s="21">
        <f>[1]ALC!D131</f>
        <v>44852</v>
      </c>
      <c r="E131" s="22">
        <f>[1]ALC!E131</f>
        <v>45001</v>
      </c>
      <c r="F131" s="23">
        <v>1</v>
      </c>
      <c r="G131" s="23" t="str">
        <f t="shared" si="19"/>
        <v>100%</v>
      </c>
      <c r="H131" s="17">
        <f t="shared" si="20"/>
        <v>0</v>
      </c>
      <c r="I131" s="17">
        <v>0</v>
      </c>
      <c r="J131" s="17">
        <f t="shared" si="21"/>
        <v>0</v>
      </c>
      <c r="K131" s="26" t="str">
        <f>VLOOKUP(A131,'[1]MS Progress'!$A:$Q,6,FALSE)</f>
        <v>100%</v>
      </c>
      <c r="L131" s="18"/>
    </row>
    <row r="132" spans="1:12" ht="14.25" customHeight="1" x14ac:dyDescent="0.25">
      <c r="A132" s="25" t="str">
        <f>'[1]ALC-Master'!A132</f>
        <v>A1050.P.04</v>
      </c>
      <c r="B132" s="25" t="str">
        <f>'[1]ALC-Master'!C132</f>
        <v>Public Announcement System</v>
      </c>
      <c r="C132" s="20">
        <f>[1]ALC!G132</f>
        <v>4.6462883899578223E-3</v>
      </c>
      <c r="D132" s="21">
        <f>[1]ALC!D132</f>
        <v>44382</v>
      </c>
      <c r="E132" s="22">
        <f>[1]ALC!E132</f>
        <v>45001</v>
      </c>
      <c r="F132" s="23">
        <v>1</v>
      </c>
      <c r="G132" s="23" t="str">
        <f t="shared" si="19"/>
        <v>85%</v>
      </c>
      <c r="H132" s="17">
        <f t="shared" si="20"/>
        <v>3.9493451314641485E-3</v>
      </c>
      <c r="I132" s="17">
        <v>4.6462883899578223E-3</v>
      </c>
      <c r="J132" s="17">
        <f t="shared" si="21"/>
        <v>-6.9694325849367373E-4</v>
      </c>
      <c r="K132" s="26" t="str">
        <f>VLOOKUP(A132,'[1]MS Progress'!$A:$Q,6,FALSE)</f>
        <v>85%</v>
      </c>
      <c r="L132" s="18"/>
    </row>
    <row r="133" spans="1:12" ht="14.25" customHeight="1" x14ac:dyDescent="0.25">
      <c r="A133" s="25" t="str">
        <f>'[1]ALC-Master'!A133</f>
        <v>A1050.P.05</v>
      </c>
      <c r="B133" s="25" t="str">
        <f>'[1]ALC-Master'!C133</f>
        <v>Electrical &amp; Structured Cabling Services(By Others)</v>
      </c>
      <c r="C133" s="20">
        <f>[1]ALC!G133</f>
        <v>4.6462883899578223E-3</v>
      </c>
      <c r="D133" s="21">
        <f>[1]ALC!D133</f>
        <v>44971</v>
      </c>
      <c r="E133" s="22">
        <f>[1]ALC!E133</f>
        <v>45001</v>
      </c>
      <c r="F133" s="23">
        <v>1</v>
      </c>
      <c r="G133" s="23" t="str">
        <f t="shared" si="19"/>
        <v>0%</v>
      </c>
      <c r="H133" s="17">
        <f t="shared" si="20"/>
        <v>0</v>
      </c>
      <c r="I133" s="17">
        <v>4.6462883899578223E-3</v>
      </c>
      <c r="J133" s="17">
        <f t="shared" si="21"/>
        <v>-4.6462883899578223E-3</v>
      </c>
      <c r="K133" s="26" t="str">
        <f>VLOOKUP(A133,'[1]MS Progress'!$A:$Q,6,FALSE)</f>
        <v>0%</v>
      </c>
      <c r="L133" s="18"/>
    </row>
    <row r="134" spans="1:12" ht="14.25" customHeight="1" x14ac:dyDescent="0.25">
      <c r="A134" s="25" t="str">
        <f>'[1]ALC-Master'!A134</f>
        <v>A1050.P.06</v>
      </c>
      <c r="B134" s="25" t="str">
        <f>'[1]ALC-Master'!C134</f>
        <v>Data Processing Equipment</v>
      </c>
      <c r="C134" s="20">
        <f>[1]ALC!G134</f>
        <v>4.6462883899578223E-3</v>
      </c>
      <c r="D134" s="21">
        <f>[1]ALC!D134</f>
        <v>44706</v>
      </c>
      <c r="E134" s="22">
        <f>[1]ALC!E134</f>
        <v>45001</v>
      </c>
      <c r="F134" s="23">
        <v>1</v>
      </c>
      <c r="G134" s="23" t="str">
        <f t="shared" si="19"/>
        <v>100%</v>
      </c>
      <c r="H134" s="17">
        <f t="shared" si="20"/>
        <v>4.6462883899578223E-3</v>
      </c>
      <c r="I134" s="17">
        <v>4.6462883899578223E-3</v>
      </c>
      <c r="J134" s="17">
        <f t="shared" si="21"/>
        <v>0</v>
      </c>
      <c r="K134" s="26" t="str">
        <f>VLOOKUP(A134,'[1]MS Progress'!$A:$Q,6,FALSE)</f>
        <v>100%</v>
      </c>
      <c r="L134" s="18"/>
    </row>
    <row r="135" spans="1:12" ht="14.25" customHeight="1" x14ac:dyDescent="0.25">
      <c r="A135" s="25" t="str">
        <f>'[1]ALC-Master'!A135</f>
        <v>A1050.P.07</v>
      </c>
      <c r="B135" s="25" t="str">
        <f>'[1]ALC-Master'!C135</f>
        <v>Data Communication Equipment</v>
      </c>
      <c r="C135" s="20">
        <f>[1]ALC!G135</f>
        <v>4.6462883899578223E-3</v>
      </c>
      <c r="D135" s="21">
        <f>[1]ALC!D135</f>
        <v>44706</v>
      </c>
      <c r="E135" s="22">
        <f>[1]ALC!E135</f>
        <v>45001</v>
      </c>
      <c r="F135" s="23">
        <v>1</v>
      </c>
      <c r="G135" s="23" t="str">
        <f t="shared" si="19"/>
        <v>95%</v>
      </c>
      <c r="H135" s="17">
        <f t="shared" si="20"/>
        <v>4.413973970459931E-3</v>
      </c>
      <c r="I135" s="17">
        <v>4.6462883899578223E-3</v>
      </c>
      <c r="J135" s="17">
        <f t="shared" si="21"/>
        <v>-2.3231441949789124E-4</v>
      </c>
      <c r="K135" s="26" t="str">
        <f>VLOOKUP(A135,'[1]MS Progress'!$A:$Q,6,FALSE)</f>
        <v>95%</v>
      </c>
      <c r="L135" s="18"/>
    </row>
    <row r="136" spans="1:12" ht="14.25" customHeight="1" x14ac:dyDescent="0.25">
      <c r="A136" s="25" t="str">
        <f>'[1]ALC-Master'!A136</f>
        <v>A1050.P.08</v>
      </c>
      <c r="B136" s="25" t="str">
        <f>'[1]ALC-Master'!C136</f>
        <v>Station Integrated with Interfacing Controller for Receipt, Intercom, RFID, Biometrics, Traffic Lights, Vehicle Barrier</v>
      </c>
      <c r="C136" s="20">
        <f>[1]ALC!G136</f>
        <v>4.6462883899578223E-3</v>
      </c>
      <c r="D136" s="21">
        <f>[1]ALC!D136</f>
        <v>44706</v>
      </c>
      <c r="E136" s="22">
        <f>[1]ALC!E136</f>
        <v>45001</v>
      </c>
      <c r="F136" s="23">
        <v>1</v>
      </c>
      <c r="G136" s="23" t="str">
        <f t="shared" si="19"/>
        <v>95%</v>
      </c>
      <c r="H136" s="17">
        <f t="shared" si="20"/>
        <v>4.413973970459931E-3</v>
      </c>
      <c r="I136" s="17">
        <v>4.6462883899578223E-3</v>
      </c>
      <c r="J136" s="17">
        <f t="shared" si="21"/>
        <v>-2.3231441949789124E-4</v>
      </c>
      <c r="K136" s="26" t="str">
        <f>VLOOKUP(A136,'[1]MS Progress'!$A:$Q,6,FALSE)</f>
        <v>95%</v>
      </c>
      <c r="L136" s="18"/>
    </row>
    <row r="137" spans="1:12" ht="14.25" customHeight="1" x14ac:dyDescent="0.25">
      <c r="A137" s="25" t="str">
        <f>'[1]ALC-Master'!A137</f>
        <v>A1050.P.09</v>
      </c>
      <c r="B137" s="25" t="str">
        <f>'[1]ALC-Master'!C137</f>
        <v>Video Recording System, LPR Hardware and Accessories</v>
      </c>
      <c r="C137" s="20">
        <f>[1]ALC!G137</f>
        <v>6.1950511866104294E-3</v>
      </c>
      <c r="D137" s="21">
        <f>[1]ALC!D137</f>
        <v>44706</v>
      </c>
      <c r="E137" s="22">
        <f>[1]ALC!E137</f>
        <v>45012</v>
      </c>
      <c r="F137" s="23">
        <v>1</v>
      </c>
      <c r="G137" s="23" t="str">
        <f t="shared" si="19"/>
        <v>95%</v>
      </c>
      <c r="H137" s="17">
        <f t="shared" si="20"/>
        <v>5.8852986272799074E-3</v>
      </c>
      <c r="I137" s="17">
        <v>6.1950511866104294E-3</v>
      </c>
      <c r="J137" s="17">
        <f t="shared" si="21"/>
        <v>-3.0975255933052195E-4</v>
      </c>
      <c r="K137" s="26" t="str">
        <f>VLOOKUP(A137,'[1]MS Progress'!$A:$Q,6,FALSE)</f>
        <v>95%</v>
      </c>
      <c r="L137" s="18"/>
    </row>
    <row r="138" spans="1:12" ht="14.25" customHeight="1" x14ac:dyDescent="0.25">
      <c r="A138" s="25" t="str">
        <f>'[1]ALC-Master'!A138</f>
        <v>A1050.P.10</v>
      </c>
      <c r="B138" s="25" t="str">
        <f>'[1]ALC-Master'!C138</f>
        <v>Zonal Detection System</v>
      </c>
      <c r="C138" s="20">
        <f>[1]ALC!G138</f>
        <v>8.7763225143647743E-3</v>
      </c>
      <c r="D138" s="21">
        <f>[1]ALC!D138</f>
        <v>44706</v>
      </c>
      <c r="E138" s="22">
        <f>[1]ALC!E138</f>
        <v>45030</v>
      </c>
      <c r="F138" s="23">
        <v>1</v>
      </c>
      <c r="G138" s="23" t="str">
        <f t="shared" si="19"/>
        <v>85%</v>
      </c>
      <c r="H138" s="17">
        <f t="shared" si="20"/>
        <v>7.4598741372100576E-3</v>
      </c>
      <c r="I138" s="17">
        <v>8.7763225143647743E-3</v>
      </c>
      <c r="J138" s="17">
        <f t="shared" si="21"/>
        <v>-1.3164483771547168E-3</v>
      </c>
      <c r="K138" s="26" t="str">
        <f>VLOOKUP(A138,'[1]MS Progress'!$A:$Q,6,FALSE)</f>
        <v>85%</v>
      </c>
      <c r="L138" s="18"/>
    </row>
    <row r="139" spans="1:12" ht="14.25" customHeight="1" x14ac:dyDescent="0.25">
      <c r="A139" s="25" t="str">
        <f>'[1]ALC-Master'!A139</f>
        <v>A1050.P.11</v>
      </c>
      <c r="B139" s="25" t="str">
        <f>'[1]ALC-Master'!C139</f>
        <v>Radioactive Devices</v>
      </c>
      <c r="C139" s="20">
        <f>[1]ALC!G139</f>
        <v>8.9484072695483977E-3</v>
      </c>
      <c r="D139" s="21">
        <f>[1]ALC!D139</f>
        <v>44802</v>
      </c>
      <c r="E139" s="22">
        <f>[1]ALC!E139</f>
        <v>45031</v>
      </c>
      <c r="F139" s="23">
        <v>1</v>
      </c>
      <c r="G139" s="23" t="str">
        <f t="shared" si="19"/>
        <v>100%</v>
      </c>
      <c r="H139" s="17">
        <f t="shared" si="20"/>
        <v>8.9484072695483977E-3</v>
      </c>
      <c r="I139" s="17">
        <v>8.9484072695483977E-3</v>
      </c>
      <c r="J139" s="17">
        <f t="shared" si="21"/>
        <v>0</v>
      </c>
      <c r="K139" s="26" t="str">
        <f>VLOOKUP(A139,'[1]MS Progress'!$A:$Q,6,FALSE)</f>
        <v>100%</v>
      </c>
      <c r="L139" s="18"/>
    </row>
    <row r="140" spans="1:12" ht="14.25" customHeight="1" x14ac:dyDescent="0.25">
      <c r="A140" s="25" t="str">
        <f>'[1]ALC-Master'!A140</f>
        <v>A1050.P.12</v>
      </c>
      <c r="B140" s="25" t="str">
        <f>'[1]ALC-Master'!C140</f>
        <v>Heat Detection Devices</v>
      </c>
      <c r="C140" s="20">
        <f>[1]ALC!G140</f>
        <v>1.5487627966526073E-2</v>
      </c>
      <c r="D140" s="21">
        <f>[1]ALC!D140</f>
        <v>44782</v>
      </c>
      <c r="E140" s="22">
        <f>[1]ALC!E140</f>
        <v>44995</v>
      </c>
      <c r="F140" s="23">
        <v>1</v>
      </c>
      <c r="G140" s="23" t="str">
        <f t="shared" si="19"/>
        <v>100%</v>
      </c>
      <c r="H140" s="17">
        <f t="shared" si="20"/>
        <v>1.5487627966526073E-2</v>
      </c>
      <c r="I140" s="17">
        <v>1.5487627966526073E-2</v>
      </c>
      <c r="J140" s="17">
        <f t="shared" si="21"/>
        <v>0</v>
      </c>
      <c r="K140" s="26" t="str">
        <f>VLOOKUP(A140,'[1]MS Progress'!$A:$Q,6,FALSE)</f>
        <v>100%</v>
      </c>
      <c r="L140" s="18"/>
    </row>
    <row r="141" spans="1:12" ht="14.25" customHeight="1" x14ac:dyDescent="0.25">
      <c r="A141" s="25" t="str">
        <f>'[1]ALC-Master'!A141</f>
        <v>A1050.P.13</v>
      </c>
      <c r="B141" s="25" t="str">
        <f>'[1]ALC-Master'!C141</f>
        <v>Ash Truck Positioning and Empty/Full Detection Devices</v>
      </c>
      <c r="C141" s="20">
        <f>[1]ALC!G141</f>
        <v>8.9484072695483977E-3</v>
      </c>
      <c r="D141" s="21">
        <f>[1]ALC!D141</f>
        <v>44706</v>
      </c>
      <c r="E141" s="22">
        <f>[1]ALC!E141</f>
        <v>45031</v>
      </c>
      <c r="F141" s="23">
        <v>1</v>
      </c>
      <c r="G141" s="23" t="str">
        <f t="shared" si="19"/>
        <v>80%</v>
      </c>
      <c r="H141" s="17">
        <f t="shared" si="20"/>
        <v>7.1587258156387184E-3</v>
      </c>
      <c r="I141" s="17">
        <v>8.9484072695483977E-3</v>
      </c>
      <c r="J141" s="17">
        <f t="shared" si="21"/>
        <v>-1.7896814539096794E-3</v>
      </c>
      <c r="K141" s="26" t="str">
        <f>VLOOKUP(A141,'[1]MS Progress'!$A:$Q,6,FALSE)</f>
        <v>80%</v>
      </c>
      <c r="L141" s="18"/>
    </row>
    <row r="142" spans="1:12" ht="14.25" customHeight="1" x14ac:dyDescent="0.25">
      <c r="A142" s="25" t="str">
        <f>'[1]ALC-Master'!A142</f>
        <v>A1050.P.14</v>
      </c>
      <c r="B142" s="25" t="str">
        <f>'[1]ALC-Master'!C142</f>
        <v>Purchase and Delivery of Casted Items(Others) -Batch 1</v>
      </c>
      <c r="C142" s="20">
        <f>[1]ALC!G142</f>
        <v>1.2045932862853612E-2</v>
      </c>
      <c r="D142" s="21">
        <f>[1]ALC!D142</f>
        <v>45086</v>
      </c>
      <c r="E142" s="22">
        <f>[1]ALC!E142</f>
        <v>45087</v>
      </c>
      <c r="F142" s="23">
        <v>1</v>
      </c>
      <c r="G142" s="23" t="str">
        <f t="shared" si="19"/>
        <v>100%</v>
      </c>
      <c r="H142" s="17">
        <f t="shared" si="20"/>
        <v>1.2045932862853612E-2</v>
      </c>
      <c r="I142" s="17">
        <v>1.2045932862853612E-2</v>
      </c>
      <c r="J142" s="17">
        <f t="shared" si="21"/>
        <v>0</v>
      </c>
      <c r="K142" s="26" t="str">
        <f>VLOOKUP(A142,'[1]MS Progress'!$A:$Q,6,FALSE)</f>
        <v>100%</v>
      </c>
      <c r="L142" s="18"/>
    </row>
    <row r="143" spans="1:12" ht="14.25" customHeight="1" x14ac:dyDescent="0.25">
      <c r="A143" s="25" t="str">
        <f>'[1]ALC-Master'!A143</f>
        <v>A1050.P.15</v>
      </c>
      <c r="B143" s="25" t="str">
        <f>'[1]ALC-Master'!C143</f>
        <v>Purchase and Delivery of Casted Items(Others) - Batch 2</v>
      </c>
      <c r="C143" s="20">
        <f>[1]ALC!G143</f>
        <v>1.3250526149138974E-2</v>
      </c>
      <c r="D143" s="21">
        <f>[1]ALC!D143</f>
        <v>45087</v>
      </c>
      <c r="E143" s="22">
        <f>[1]ALC!E143</f>
        <v>45087</v>
      </c>
      <c r="F143" s="23">
        <v>1</v>
      </c>
      <c r="G143" s="23" t="str">
        <f t="shared" si="19"/>
        <v>100%</v>
      </c>
      <c r="H143" s="17">
        <f t="shared" si="20"/>
        <v>1.3250526149138974E-2</v>
      </c>
      <c r="I143" s="17">
        <v>1.3250526149138974E-2</v>
      </c>
      <c r="J143" s="17">
        <f t="shared" si="21"/>
        <v>0</v>
      </c>
      <c r="K143" s="26" t="str">
        <f>VLOOKUP(A143,'[1]MS Progress'!$A:$Q,6,FALSE)</f>
        <v>100%</v>
      </c>
      <c r="L143" s="18"/>
    </row>
    <row r="144" spans="1:12" ht="14.25" customHeight="1" x14ac:dyDescent="0.25">
      <c r="A144" s="25">
        <f>'[1]ALC-Master'!A144</f>
        <v>0</v>
      </c>
      <c r="B144" s="25" t="str">
        <f>'[1]ALC-Master'!C144</f>
        <v>Manufacture / Fabrication / Delivery</v>
      </c>
      <c r="C144" s="20"/>
      <c r="D144" s="21"/>
      <c r="E144" s="22"/>
      <c r="F144" s="23"/>
      <c r="G144" s="23"/>
      <c r="H144" s="17"/>
      <c r="I144" s="17"/>
      <c r="J144" s="17"/>
      <c r="K144" s="18"/>
      <c r="L144" s="18"/>
    </row>
    <row r="145" spans="1:12" ht="14.25" customHeight="1" x14ac:dyDescent="0.25">
      <c r="A145" s="25" t="str">
        <f>'[1]ALC-Master'!A145</f>
        <v>A1060</v>
      </c>
      <c r="B145" s="25" t="str">
        <f>'[1]ALC-Master'!C145</f>
        <v>Manufacture Commence Data (Commence Date should be notified by KSPL)</v>
      </c>
      <c r="C145" s="20"/>
      <c r="D145" s="21"/>
      <c r="E145" s="22"/>
      <c r="F145" s="23"/>
      <c r="G145" s="23"/>
      <c r="H145" s="17"/>
      <c r="I145" s="17"/>
      <c r="J145" s="17"/>
      <c r="K145" s="18"/>
      <c r="L145" s="18"/>
    </row>
    <row r="146" spans="1:12" ht="14.25" customHeight="1" x14ac:dyDescent="0.25">
      <c r="A146" s="25" t="str">
        <f>'[1]ALC-Master'!A146</f>
        <v>A1060.M.01</v>
      </c>
      <c r="B146" s="25" t="str">
        <f>'[1]ALC-Master'!C146</f>
        <v>Weighbridges</v>
      </c>
      <c r="C146" s="20">
        <f>[1]ALC!G146</f>
        <v>9.2925767799156445E-3</v>
      </c>
      <c r="D146" s="21">
        <f>[1]ALC!D146</f>
        <v>45001</v>
      </c>
      <c r="E146" s="22">
        <f>[1]ALC!E146</f>
        <v>45066</v>
      </c>
      <c r="F146" s="23">
        <v>1</v>
      </c>
      <c r="G146" s="23" t="str">
        <f t="shared" ref="G146:G158" si="22">K146</f>
        <v>100%</v>
      </c>
      <c r="H146" s="17">
        <f t="shared" ref="H146:H158" si="23">(G146/F146)*C146</f>
        <v>9.2925767799156445E-3</v>
      </c>
      <c r="I146" s="17">
        <v>9.2925767799156445E-3</v>
      </c>
      <c r="J146" s="17">
        <f t="shared" ref="J146:J158" si="24">H146-I146</f>
        <v>0</v>
      </c>
      <c r="K146" s="26" t="str">
        <f>VLOOKUP(A146,'[1]MS Progress'!$A:$Q,6,FALSE)</f>
        <v>100%</v>
      </c>
      <c r="L146" s="18"/>
    </row>
    <row r="147" spans="1:12" ht="14.25" customHeight="1" x14ac:dyDescent="0.25">
      <c r="A147" s="25" t="str">
        <f>'[1]ALC-Master'!A147</f>
        <v>A1060.M.02</v>
      </c>
      <c r="B147" s="25" t="str">
        <f>'[1]ALC-Master'!C147</f>
        <v>Furniture</v>
      </c>
      <c r="C147" s="20">
        <f>[1]ALC!G147</f>
        <v>4.6462883899578223E-3</v>
      </c>
      <c r="D147" s="21">
        <f>[1]ALC!D147</f>
        <v>45033</v>
      </c>
      <c r="E147" s="22">
        <f>[1]ALC!E147</f>
        <v>45065</v>
      </c>
      <c r="F147" s="23">
        <v>1</v>
      </c>
      <c r="G147" s="23" t="str">
        <f t="shared" si="22"/>
        <v>0%</v>
      </c>
      <c r="H147" s="17">
        <f t="shared" si="23"/>
        <v>0</v>
      </c>
      <c r="I147" s="17">
        <v>4.6462883899578223E-3</v>
      </c>
      <c r="J147" s="17">
        <f t="shared" si="24"/>
        <v>-4.6462883899578223E-3</v>
      </c>
      <c r="K147" s="26" t="str">
        <f>VLOOKUP(A147,'[1]MS Progress'!$A:$Q,6,FALSE)</f>
        <v>0%</v>
      </c>
      <c r="L147" s="18"/>
    </row>
    <row r="148" spans="1:12" ht="14.25" customHeight="1" x14ac:dyDescent="0.25">
      <c r="A148" s="25" t="str">
        <f>'[1]ALC-Master'!A148</f>
        <v>A1060.M.03</v>
      </c>
      <c r="B148" s="25" t="str">
        <f>'[1]ALC-Master'!C148</f>
        <v>UPS &amp; 19" Racks</v>
      </c>
      <c r="C148" s="20">
        <f>[1]ALC!G148</f>
        <v>9.2925767799156445E-3</v>
      </c>
      <c r="D148" s="21">
        <f>[1]ALC!D148</f>
        <v>45002</v>
      </c>
      <c r="E148" s="22">
        <f>[1]ALC!E148</f>
        <v>45068</v>
      </c>
      <c r="F148" s="23">
        <v>1</v>
      </c>
      <c r="G148" s="23" t="str">
        <f t="shared" si="22"/>
        <v>80%</v>
      </c>
      <c r="H148" s="17">
        <f t="shared" si="23"/>
        <v>7.4340614239325163E-3</v>
      </c>
      <c r="I148" s="17">
        <v>9.2925767799156445E-3</v>
      </c>
      <c r="J148" s="17">
        <f t="shared" si="24"/>
        <v>-1.8585153559831282E-3</v>
      </c>
      <c r="K148" s="26" t="str">
        <f>VLOOKUP(A148,'[1]MS Progress'!$A:$Q,6,FALSE)</f>
        <v>80%</v>
      </c>
      <c r="L148" s="18"/>
    </row>
    <row r="149" spans="1:12" ht="14.25" customHeight="1" x14ac:dyDescent="0.25">
      <c r="A149" s="25" t="str">
        <f>'[1]ALC-Master'!A149</f>
        <v>A1060.M.04</v>
      </c>
      <c r="B149" s="25" t="str">
        <f>'[1]ALC-Master'!C149</f>
        <v>Public Announcement System</v>
      </c>
      <c r="C149" s="20">
        <f>[1]ALC!G149</f>
        <v>6.022966431426806E-3</v>
      </c>
      <c r="D149" s="21">
        <f>[1]ALC!D149</f>
        <v>45002</v>
      </c>
      <c r="E149" s="22">
        <f>[1]ALC!E149</f>
        <v>45044</v>
      </c>
      <c r="F149" s="23">
        <v>1</v>
      </c>
      <c r="G149" s="23" t="str">
        <f t="shared" si="22"/>
        <v>50%</v>
      </c>
      <c r="H149" s="17">
        <f t="shared" si="23"/>
        <v>3.011483215713403E-3</v>
      </c>
      <c r="I149" s="17">
        <v>6.022966431426806E-3</v>
      </c>
      <c r="J149" s="17">
        <f t="shared" si="24"/>
        <v>-3.011483215713403E-3</v>
      </c>
      <c r="K149" s="26" t="str">
        <f>VLOOKUP(A149,'[1]MS Progress'!$A:$Q,6,FALSE)</f>
        <v>50%</v>
      </c>
      <c r="L149" s="18"/>
    </row>
    <row r="150" spans="1:12" ht="14.25" customHeight="1" x14ac:dyDescent="0.25">
      <c r="A150" s="25" t="str">
        <f>'[1]ALC-Master'!A150</f>
        <v>A1060.M.05</v>
      </c>
      <c r="B150" s="25" t="str">
        <f>'[1]ALC-Master'!C150</f>
        <v>Electrical &amp; Structured Cabling Services</v>
      </c>
      <c r="C150" s="20">
        <f>[1]ALC!G150</f>
        <v>1.3766780414689843E-2</v>
      </c>
      <c r="D150" s="21">
        <f>[1]ALC!D150</f>
        <v>45002</v>
      </c>
      <c r="E150" s="22">
        <f>[1]ALC!E150</f>
        <v>45098</v>
      </c>
      <c r="F150" s="23">
        <v>1</v>
      </c>
      <c r="G150" s="23" t="str">
        <f t="shared" si="22"/>
        <v>0%</v>
      </c>
      <c r="H150" s="17">
        <f t="shared" si="23"/>
        <v>0</v>
      </c>
      <c r="I150" s="17">
        <v>1.3766780414689843E-2</v>
      </c>
      <c r="J150" s="17">
        <f t="shared" si="24"/>
        <v>-1.3766780414689843E-2</v>
      </c>
      <c r="K150" s="26" t="str">
        <f>VLOOKUP(A150,'[1]MS Progress'!$A:$Q,6,FALSE)</f>
        <v>0%</v>
      </c>
      <c r="L150" s="18"/>
    </row>
    <row r="151" spans="1:12" ht="14.25" customHeight="1" x14ac:dyDescent="0.25">
      <c r="A151" s="25" t="str">
        <f>'[1]ALC-Master'!A151</f>
        <v>A1060.M.06</v>
      </c>
      <c r="B151" s="25" t="str">
        <f>'[1]ALC-Master'!C151</f>
        <v>Data Processing Equipment</v>
      </c>
      <c r="C151" s="20">
        <f>[1]ALC!G151</f>
        <v>9.2925767799156445E-3</v>
      </c>
      <c r="D151" s="21">
        <f>[1]ALC!D151</f>
        <v>45002</v>
      </c>
      <c r="E151" s="22">
        <f>[1]ALC!E151</f>
        <v>45068</v>
      </c>
      <c r="F151" s="23">
        <v>1</v>
      </c>
      <c r="G151" s="23" t="str">
        <f t="shared" si="22"/>
        <v>40%</v>
      </c>
      <c r="H151" s="17">
        <f t="shared" si="23"/>
        <v>3.7170307119662582E-3</v>
      </c>
      <c r="I151" s="17">
        <v>9.2925767799156445E-3</v>
      </c>
      <c r="J151" s="17">
        <f t="shared" si="24"/>
        <v>-5.5755460679493864E-3</v>
      </c>
      <c r="K151" s="26" t="str">
        <f>VLOOKUP(A151,'[1]MS Progress'!$A:$Q,6,FALSE)</f>
        <v>40%</v>
      </c>
      <c r="L151" s="18"/>
    </row>
    <row r="152" spans="1:12" ht="14.25" customHeight="1" x14ac:dyDescent="0.25">
      <c r="A152" s="25" t="str">
        <f>'[1]ALC-Master'!A152</f>
        <v>A1060.M.07</v>
      </c>
      <c r="B152" s="25" t="str">
        <f>'[1]ALC-Master'!C152</f>
        <v>Data Communication Equipment</v>
      </c>
      <c r="C152" s="20">
        <f>[1]ALC!G152</f>
        <v>9.2925767799156445E-3</v>
      </c>
      <c r="D152" s="21">
        <f>[1]ALC!D152</f>
        <v>45048</v>
      </c>
      <c r="E152" s="22">
        <f>[1]ALC!E152</f>
        <v>45111</v>
      </c>
      <c r="F152" s="23">
        <v>1</v>
      </c>
      <c r="G152" s="23" t="str">
        <f t="shared" si="22"/>
        <v>40%</v>
      </c>
      <c r="H152" s="17">
        <f t="shared" si="23"/>
        <v>3.7170307119662582E-3</v>
      </c>
      <c r="I152" s="17">
        <v>9.2925767799156445E-3</v>
      </c>
      <c r="J152" s="17">
        <f t="shared" si="24"/>
        <v>-5.5755460679493864E-3</v>
      </c>
      <c r="K152" s="26" t="str">
        <f>VLOOKUP(A152,'[1]MS Progress'!$A:$Q,6,FALSE)</f>
        <v>40%</v>
      </c>
      <c r="L152" s="18"/>
    </row>
    <row r="153" spans="1:12" ht="14.25" customHeight="1" x14ac:dyDescent="0.25">
      <c r="A153" s="25" t="str">
        <f>'[1]ALC-Master'!A153</f>
        <v>A1060.M.08</v>
      </c>
      <c r="B153" s="25" t="str">
        <f>'[1]ALC-Master'!C153</f>
        <v>Station Integrated with Interfacing Controller for Receipt, Intercom, RFID, Biometrics, Traffic Lights, Vehicle Barrier</v>
      </c>
      <c r="C153" s="20">
        <f>[1]ALC!G153</f>
        <v>1.3766780414689843E-2</v>
      </c>
      <c r="D153" s="21">
        <f>[1]ALC!D153</f>
        <v>45002</v>
      </c>
      <c r="E153" s="22">
        <f>[1]ALC!E153</f>
        <v>45098</v>
      </c>
      <c r="F153" s="23">
        <v>1</v>
      </c>
      <c r="G153" s="23" t="str">
        <f t="shared" si="22"/>
        <v>60%</v>
      </c>
      <c r="H153" s="17">
        <f t="shared" si="23"/>
        <v>8.2600682488139059E-3</v>
      </c>
      <c r="I153" s="17">
        <v>1.3766780414689843E-2</v>
      </c>
      <c r="J153" s="17">
        <f t="shared" si="24"/>
        <v>-5.5067121658759367E-3</v>
      </c>
      <c r="K153" s="26" t="str">
        <f>VLOOKUP(A153,'[1]MS Progress'!$A:$Q,6,FALSE)</f>
        <v>60%</v>
      </c>
      <c r="L153" s="18"/>
    </row>
    <row r="154" spans="1:12" ht="14.25" customHeight="1" x14ac:dyDescent="0.25">
      <c r="A154" s="25" t="str">
        <f>'[1]ALC-Master'!A154</f>
        <v>A1060.M.09</v>
      </c>
      <c r="B154" s="25" t="str">
        <f>'[1]ALC-Master'!C154</f>
        <v>Video Recording System, LPR Hardware and Accessories</v>
      </c>
      <c r="C154" s="20">
        <f>[1]ALC!G154</f>
        <v>1.0841339576568252E-2</v>
      </c>
      <c r="D154" s="21">
        <f>[1]ALC!D154</f>
        <v>45013</v>
      </c>
      <c r="E154" s="22">
        <f>[1]ALC!E154</f>
        <v>45089</v>
      </c>
      <c r="F154" s="23">
        <v>1</v>
      </c>
      <c r="G154" s="23" t="str">
        <f t="shared" si="22"/>
        <v>70%</v>
      </c>
      <c r="H154" s="17">
        <f t="shared" si="23"/>
        <v>7.588937703597776E-3</v>
      </c>
      <c r="I154" s="17">
        <v>1.0841339576568252E-2</v>
      </c>
      <c r="J154" s="17">
        <f t="shared" si="24"/>
        <v>-3.2524018729704757E-3</v>
      </c>
      <c r="K154" s="26" t="str">
        <f>VLOOKUP(A154,'[1]MS Progress'!$A:$Q,6,FALSE)</f>
        <v>70%</v>
      </c>
      <c r="L154" s="18"/>
    </row>
    <row r="155" spans="1:12" ht="14.25" customHeight="1" x14ac:dyDescent="0.25">
      <c r="A155" s="25" t="str">
        <f>'[1]ALC-Master'!A155</f>
        <v>A1060.M.10</v>
      </c>
      <c r="B155" s="25" t="str">
        <f>'[1]ALC-Master'!C155</f>
        <v>Zonal Detection System</v>
      </c>
      <c r="C155" s="20">
        <f>[1]ALC!G155</f>
        <v>1.3766780414689843E-2</v>
      </c>
      <c r="D155" s="21">
        <f>[1]ALC!D155</f>
        <v>45069</v>
      </c>
      <c r="E155" s="22">
        <f>[1]ALC!E155</f>
        <v>45163</v>
      </c>
      <c r="F155" s="23">
        <v>1</v>
      </c>
      <c r="G155" s="23" t="str">
        <f t="shared" si="22"/>
        <v>30%</v>
      </c>
      <c r="H155" s="17">
        <f t="shared" si="23"/>
        <v>4.1300341244069529E-3</v>
      </c>
      <c r="I155" s="17">
        <v>1.3766780414689843E-2</v>
      </c>
      <c r="J155" s="17">
        <f t="shared" si="24"/>
        <v>-9.6367462902828896E-3</v>
      </c>
      <c r="K155" s="26" t="str">
        <f>VLOOKUP(A155,'[1]MS Progress'!$A:$Q,6,FALSE)</f>
        <v>30%</v>
      </c>
      <c r="L155" s="18"/>
    </row>
    <row r="156" spans="1:12" ht="14.25" customHeight="1" x14ac:dyDescent="0.25">
      <c r="A156" s="25" t="str">
        <f>'[1]ALC-Master'!A156</f>
        <v>A1060.M.11</v>
      </c>
      <c r="B156" s="25" t="str">
        <f>'[1]ALC-Master'!C156</f>
        <v>Radioactive Devices</v>
      </c>
      <c r="C156" s="20">
        <f>[1]ALC!G156</f>
        <v>6.1950511866104294E-3</v>
      </c>
      <c r="D156" s="21">
        <f>[1]ALC!D156</f>
        <v>45033</v>
      </c>
      <c r="E156" s="22">
        <f>[1]ALC!E156</f>
        <v>45076</v>
      </c>
      <c r="F156" s="23">
        <v>1</v>
      </c>
      <c r="G156" s="23" t="str">
        <f t="shared" si="22"/>
        <v>90%</v>
      </c>
      <c r="H156" s="17">
        <f t="shared" si="23"/>
        <v>5.5755460679493864E-3</v>
      </c>
      <c r="I156" s="17">
        <v>6.1950511866104294E-3</v>
      </c>
      <c r="J156" s="17">
        <f t="shared" si="24"/>
        <v>-6.1950511866104303E-4</v>
      </c>
      <c r="K156" s="26" t="str">
        <f>VLOOKUP(A156,'[1]MS Progress'!$A:$Q,6,FALSE)</f>
        <v>90%</v>
      </c>
      <c r="L156" s="18"/>
    </row>
    <row r="157" spans="1:12" ht="14.25" customHeight="1" x14ac:dyDescent="0.25">
      <c r="A157" s="25" t="str">
        <f>'[1]ALC-Master'!A157</f>
        <v>A1060.M.12</v>
      </c>
      <c r="B157" s="25" t="str">
        <f>'[1]ALC-Master'!C157</f>
        <v>Heat Detection Devices</v>
      </c>
      <c r="C157" s="20">
        <f>[1]ALC!G157</f>
        <v>7.7438139832630365E-3</v>
      </c>
      <c r="D157" s="21">
        <f>[1]ALC!D157</f>
        <v>44996</v>
      </c>
      <c r="E157" s="22">
        <f>[1]ALC!E157</f>
        <v>45051</v>
      </c>
      <c r="F157" s="23">
        <v>1</v>
      </c>
      <c r="G157" s="23" t="str">
        <f t="shared" si="22"/>
        <v>80%</v>
      </c>
      <c r="H157" s="17">
        <f t="shared" si="23"/>
        <v>6.1950511866104294E-3</v>
      </c>
      <c r="I157" s="17">
        <v>7.7438139832630365E-3</v>
      </c>
      <c r="J157" s="17">
        <f t="shared" si="24"/>
        <v>-1.5487627966526071E-3</v>
      </c>
      <c r="K157" s="26" t="str">
        <f>VLOOKUP(A157,'[1]MS Progress'!$A:$Q,6,FALSE)</f>
        <v>80%</v>
      </c>
      <c r="L157" s="18"/>
    </row>
    <row r="158" spans="1:12" ht="14.25" customHeight="1" x14ac:dyDescent="0.25">
      <c r="A158" s="25" t="str">
        <f>'[1]ALC-Master'!A158</f>
        <v>A1060.M.13</v>
      </c>
      <c r="B158" s="25" t="str">
        <f>'[1]ALC-Master'!C158</f>
        <v>Ash Truck Positioning and Empty/Full Detection Devices</v>
      </c>
      <c r="C158" s="20">
        <f>[1]ALC!G158</f>
        <v>9.2925767799156445E-3</v>
      </c>
      <c r="D158" s="21">
        <f>[1]ALC!D158</f>
        <v>45033</v>
      </c>
      <c r="E158" s="22">
        <f>[1]ALC!E158</f>
        <v>45097</v>
      </c>
      <c r="F158" s="23">
        <v>1</v>
      </c>
      <c r="G158" s="23" t="str">
        <f t="shared" si="22"/>
        <v>35%</v>
      </c>
      <c r="H158" s="17">
        <f t="shared" si="23"/>
        <v>3.2524018729704752E-3</v>
      </c>
      <c r="I158" s="17">
        <v>9.2925767799156445E-3</v>
      </c>
      <c r="J158" s="17">
        <f t="shared" si="24"/>
        <v>-6.0401749069451689E-3</v>
      </c>
      <c r="K158" s="26" t="str">
        <f>VLOOKUP(A158,'[1]MS Progress'!$A:$Q,6,FALSE)</f>
        <v>35%</v>
      </c>
      <c r="L158" s="18"/>
    </row>
    <row r="159" spans="1:12" ht="14.25" customHeight="1" x14ac:dyDescent="0.25">
      <c r="A159" s="25" t="str">
        <f>'[1]ALC-Master'!A159</f>
        <v>A1070</v>
      </c>
      <c r="B159" s="25" t="str">
        <f>'[1]ALC-Master'!C159</f>
        <v>Completion of FAT for Weighbridge System</v>
      </c>
      <c r="C159" s="20"/>
      <c r="D159" s="21"/>
      <c r="E159" s="22"/>
      <c r="F159" s="23"/>
      <c r="G159" s="23"/>
      <c r="H159" s="17"/>
      <c r="I159" s="17"/>
      <c r="J159" s="17"/>
      <c r="K159" s="18"/>
      <c r="L159" s="18"/>
    </row>
    <row r="160" spans="1:12" ht="14.25" customHeight="1" x14ac:dyDescent="0.25">
      <c r="A160" s="25" t="str">
        <f>'[1]ALC-Master'!A160</f>
        <v>A1070.F.01</v>
      </c>
      <c r="B160" s="25" t="str">
        <f>'[1]ALC-Master'!C160</f>
        <v>FAT for Weighbridge</v>
      </c>
      <c r="C160" s="20">
        <f>[1]ALC!G160</f>
        <v>8.7763225143647743E-3</v>
      </c>
      <c r="D160" s="21">
        <f>[1]ALC!D160</f>
        <v>45131</v>
      </c>
      <c r="E160" s="22">
        <f>[1]ALC!E160</f>
        <v>45190</v>
      </c>
      <c r="F160" s="23">
        <v>1</v>
      </c>
      <c r="G160" s="23" t="str">
        <f t="shared" ref="G160:G163" si="25">K160</f>
        <v>0%</v>
      </c>
      <c r="H160" s="17">
        <f t="shared" ref="H160:H163" si="26">(G160/F160)*C160</f>
        <v>0</v>
      </c>
      <c r="I160" s="17">
        <v>8.7763225143647743E-3</v>
      </c>
      <c r="J160" s="17">
        <f t="shared" ref="J160:J163" si="27">H160-I160</f>
        <v>-8.7763225143647743E-3</v>
      </c>
      <c r="K160" s="26" t="str">
        <f>VLOOKUP(A160,'[1]MS Progress'!$A:$Q,6,FALSE)</f>
        <v>0%</v>
      </c>
      <c r="L160" s="18"/>
    </row>
    <row r="161" spans="1:12" ht="14.25" customHeight="1" x14ac:dyDescent="0.25">
      <c r="A161" s="25" t="str">
        <f>'[1]ALC-Master'!A161</f>
        <v>A1070.F.02</v>
      </c>
      <c r="B161" s="25" t="str">
        <f>'[1]ALC-Master'!C161</f>
        <v>FAT for Zonal Detection</v>
      </c>
      <c r="C161" s="20">
        <f>[1]ALC!G161</f>
        <v>7.7438139832630365E-3</v>
      </c>
      <c r="D161" s="21">
        <f>[1]ALC!D161</f>
        <v>45164</v>
      </c>
      <c r="E161" s="22">
        <f>[1]ALC!E161</f>
        <v>45216</v>
      </c>
      <c r="F161" s="23">
        <v>1</v>
      </c>
      <c r="G161" s="23" t="str">
        <f t="shared" si="25"/>
        <v>0%</v>
      </c>
      <c r="H161" s="17">
        <f t="shared" si="26"/>
        <v>0</v>
      </c>
      <c r="I161" s="17">
        <v>7.7438139832630365E-3</v>
      </c>
      <c r="J161" s="17">
        <f t="shared" si="27"/>
        <v>-7.7438139832630365E-3</v>
      </c>
      <c r="K161" s="26" t="str">
        <f>VLOOKUP(A161,'[1]MS Progress'!$A:$Q,6,FALSE)</f>
        <v>0%</v>
      </c>
      <c r="L161" s="18"/>
    </row>
    <row r="162" spans="1:12" ht="14.25" customHeight="1" x14ac:dyDescent="0.25">
      <c r="A162" s="25" t="str">
        <f>'[1]ALC-Master'!A162</f>
        <v>A1070.F.03</v>
      </c>
      <c r="B162" s="25" t="str">
        <f>'[1]ALC-Master'!C162</f>
        <v>FAT for Ash Truck Positioning and Empty/Full Detection Devices</v>
      </c>
      <c r="C162" s="20">
        <f>[1]ALC!G162</f>
        <v>7.7438139832630365E-3</v>
      </c>
      <c r="D162" s="21">
        <f>[1]ALC!D162</f>
        <v>45112</v>
      </c>
      <c r="E162" s="22">
        <f>[1]ALC!E162</f>
        <v>45164</v>
      </c>
      <c r="F162" s="23">
        <v>1</v>
      </c>
      <c r="G162" s="23" t="str">
        <f t="shared" si="25"/>
        <v>0%</v>
      </c>
      <c r="H162" s="17">
        <f t="shared" si="26"/>
        <v>0</v>
      </c>
      <c r="I162" s="17">
        <v>7.7438139832630365E-3</v>
      </c>
      <c r="J162" s="17">
        <f t="shared" si="27"/>
        <v>-7.7438139832630365E-3</v>
      </c>
      <c r="K162" s="26" t="str">
        <f>VLOOKUP(A162,'[1]MS Progress'!$A:$Q,6,FALSE)</f>
        <v>0%</v>
      </c>
      <c r="L162" s="18"/>
    </row>
    <row r="163" spans="1:12" ht="14.25" customHeight="1" x14ac:dyDescent="0.25">
      <c r="A163" s="25" t="str">
        <f>'[1]ALC-Master'!A163</f>
        <v>A1070.F.04</v>
      </c>
      <c r="B163" s="25" t="str">
        <f>'[1]ALC-Master'!C163</f>
        <v>Preparation of Holding Area for weighbridge platforms</v>
      </c>
      <c r="C163" s="20">
        <f>[1]ALC!G163</f>
        <v>6.8833902073449208E-4</v>
      </c>
      <c r="D163" s="21">
        <f>[1]ALC!D163</f>
        <v>45219</v>
      </c>
      <c r="E163" s="22">
        <f>[1]ALC!E163</f>
        <v>45223</v>
      </c>
      <c r="F163" s="23">
        <v>1</v>
      </c>
      <c r="G163" s="23" t="str">
        <f t="shared" si="25"/>
        <v>0%</v>
      </c>
      <c r="H163" s="17">
        <f t="shared" si="26"/>
        <v>0</v>
      </c>
      <c r="I163" s="17">
        <v>6.8833902073449208E-4</v>
      </c>
      <c r="J163" s="17">
        <f t="shared" si="27"/>
        <v>-6.8833902073449208E-4</v>
      </c>
      <c r="K163" s="26" t="str">
        <f>VLOOKUP(A163,'[1]MS Progress'!$A:$Q,6,FALSE)</f>
        <v>0%</v>
      </c>
      <c r="L163" s="18"/>
    </row>
    <row r="164" spans="1:12" ht="14.25" customHeight="1" x14ac:dyDescent="0.25">
      <c r="A164" s="25" t="str">
        <f>'[1]ALC-Master'!A164</f>
        <v>A1080</v>
      </c>
      <c r="B164" s="25" t="str">
        <f>'[1]ALC-Master'!C164</f>
        <v>Delivery to Site</v>
      </c>
      <c r="C164" s="20"/>
      <c r="D164" s="21"/>
      <c r="E164" s="22"/>
      <c r="F164" s="23"/>
      <c r="G164" s="23"/>
      <c r="H164" s="17"/>
      <c r="I164" s="17"/>
      <c r="J164" s="17"/>
      <c r="K164" s="18"/>
      <c r="L164" s="18"/>
    </row>
    <row r="165" spans="1:12" ht="14.25" customHeight="1" x14ac:dyDescent="0.25">
      <c r="A165" s="25" t="str">
        <f>'[1]ALC-Master'!A165</f>
        <v>A1080.D.00</v>
      </c>
      <c r="B165" s="25" t="str">
        <f>'[1]ALC-Master'!C165</f>
        <v>Architectural and Building Service Works</v>
      </c>
      <c r="C165" s="20">
        <f>[1]ALC!G165</f>
        <v>1.531554321134245E-4</v>
      </c>
      <c r="D165" s="21">
        <f>[1]ALC!D165</f>
        <v>45191</v>
      </c>
      <c r="E165" s="22">
        <f>[1]ALC!E165</f>
        <v>45191</v>
      </c>
      <c r="F165" s="23">
        <v>1</v>
      </c>
      <c r="G165" s="23" t="str">
        <f t="shared" ref="G165:G170" si="28">K165</f>
        <v>0%</v>
      </c>
      <c r="H165" s="17">
        <f t="shared" ref="H165:H170" si="29">(G165/F165)*C165</f>
        <v>0</v>
      </c>
      <c r="I165" s="17">
        <v>1.531554321134245E-4</v>
      </c>
      <c r="J165" s="17">
        <f t="shared" ref="J165:J170" si="30">H165-I165</f>
        <v>-1.531554321134245E-4</v>
      </c>
      <c r="K165" s="26" t="str">
        <f>VLOOKUP(A165,'[1]MS Progress'!$A:$Q,6,FALSE)</f>
        <v>0%</v>
      </c>
      <c r="L165" s="18"/>
    </row>
    <row r="166" spans="1:12" ht="14.25" customHeight="1" x14ac:dyDescent="0.25">
      <c r="A166" s="25" t="str">
        <f>'[1]ALC-Master'!A166</f>
        <v>A1080.D.01</v>
      </c>
      <c r="B166" s="25" t="str">
        <f>'[1]ALC-Master'!C166</f>
        <v>Weighbridge System delivery</v>
      </c>
      <c r="C166" s="20">
        <f>[1]ALC!G166</f>
        <v>9.808831045466513E-3</v>
      </c>
      <c r="D166" s="21">
        <f>[1]ALC!D166</f>
        <v>45224</v>
      </c>
      <c r="E166" s="22">
        <f>[1]ALC!E166</f>
        <v>45293</v>
      </c>
      <c r="F166" s="23">
        <v>1</v>
      </c>
      <c r="G166" s="23" t="str">
        <f t="shared" si="28"/>
        <v>0%</v>
      </c>
      <c r="H166" s="17">
        <f t="shared" si="29"/>
        <v>0</v>
      </c>
      <c r="I166" s="17">
        <v>9.808831045466513E-3</v>
      </c>
      <c r="J166" s="17">
        <f t="shared" si="30"/>
        <v>-9.808831045466513E-3</v>
      </c>
      <c r="K166" s="26" t="str">
        <f>VLOOKUP(A166,'[1]MS Progress'!$A:$Q,6,FALSE)</f>
        <v>0%</v>
      </c>
      <c r="L166" s="18"/>
    </row>
    <row r="167" spans="1:12" ht="14.25" customHeight="1" x14ac:dyDescent="0.25">
      <c r="A167" s="25" t="str">
        <f>'[1]ALC-Master'!A167</f>
        <v>A1080.D.02</v>
      </c>
      <c r="B167" s="25" t="str">
        <f>'[1]ALC-Master'!C167</f>
        <v>Other Weighbridge Equipments</v>
      </c>
      <c r="C167" s="20">
        <f>[1]ALC!G167</f>
        <v>9.808831045466513E-3</v>
      </c>
      <c r="D167" s="21">
        <f>[1]ALC!D167</f>
        <v>45224</v>
      </c>
      <c r="E167" s="22">
        <f>[1]ALC!E167</f>
        <v>45293</v>
      </c>
      <c r="F167" s="23">
        <v>1</v>
      </c>
      <c r="G167" s="23" t="str">
        <f t="shared" si="28"/>
        <v>0%</v>
      </c>
      <c r="H167" s="17">
        <f t="shared" si="29"/>
        <v>0</v>
      </c>
      <c r="I167" s="17">
        <v>9.808831045466513E-3</v>
      </c>
      <c r="J167" s="17">
        <f t="shared" si="30"/>
        <v>-9.808831045466513E-3</v>
      </c>
      <c r="K167" s="26" t="str">
        <f>VLOOKUP(A167,'[1]MS Progress'!$A:$Q,6,FALSE)</f>
        <v>0%</v>
      </c>
      <c r="L167" s="18"/>
    </row>
    <row r="168" spans="1:12" ht="14.25" customHeight="1" x14ac:dyDescent="0.25">
      <c r="A168" s="25" t="str">
        <f>'[1]ALC-Master'!A168</f>
        <v>A1080.D.03</v>
      </c>
      <c r="B168" s="25" t="str">
        <f>'[1]ALC-Master'!C168</f>
        <v>Weighbridge Platform</v>
      </c>
      <c r="C168" s="20">
        <f>[1]ALC!G168</f>
        <v>9.808831045466513E-3</v>
      </c>
      <c r="D168" s="21">
        <f>[1]ALC!D168</f>
        <v>45224</v>
      </c>
      <c r="E168" s="22">
        <f>[1]ALC!E168</f>
        <v>45293</v>
      </c>
      <c r="F168" s="23">
        <v>1</v>
      </c>
      <c r="G168" s="23" t="str">
        <f t="shared" si="28"/>
        <v>0%</v>
      </c>
      <c r="H168" s="17">
        <f t="shared" si="29"/>
        <v>0</v>
      </c>
      <c r="I168" s="17">
        <v>9.808831045466513E-3</v>
      </c>
      <c r="J168" s="17">
        <f t="shared" si="30"/>
        <v>-9.808831045466513E-3</v>
      </c>
      <c r="K168" s="26" t="str">
        <f>VLOOKUP(A168,'[1]MS Progress'!$A:$Q,6,FALSE)</f>
        <v>0%</v>
      </c>
      <c r="L168" s="18"/>
    </row>
    <row r="169" spans="1:12" ht="14.25" customHeight="1" x14ac:dyDescent="0.25">
      <c r="A169" s="25" t="str">
        <f>'[1]ALC-Master'!A169</f>
        <v>A1080.D.04</v>
      </c>
      <c r="B169" s="25" t="str">
        <f>'[1]ALC-Master'!C169</f>
        <v>Zonal Detection System delivery</v>
      </c>
      <c r="C169" s="20">
        <f>[1]ALC!G169</f>
        <v>6.1950511866104294E-3</v>
      </c>
      <c r="D169" s="21">
        <f>[1]ALC!D169</f>
        <v>45224</v>
      </c>
      <c r="E169" s="22">
        <f>[1]ALC!E169</f>
        <v>45266</v>
      </c>
      <c r="F169" s="23">
        <v>1</v>
      </c>
      <c r="G169" s="23" t="str">
        <f t="shared" si="28"/>
        <v>0%</v>
      </c>
      <c r="H169" s="17">
        <f t="shared" si="29"/>
        <v>0</v>
      </c>
      <c r="I169" s="17">
        <v>6.1950511866104294E-3</v>
      </c>
      <c r="J169" s="17">
        <f t="shared" si="30"/>
        <v>-6.1950511866104294E-3</v>
      </c>
      <c r="K169" s="26" t="str">
        <f>VLOOKUP(A169,'[1]MS Progress'!$A:$Q,6,FALSE)</f>
        <v>0%</v>
      </c>
      <c r="L169" s="18"/>
    </row>
    <row r="170" spans="1:12" ht="14.25" customHeight="1" x14ac:dyDescent="0.25">
      <c r="A170" s="25" t="str">
        <f>'[1]ALC-Master'!A170</f>
        <v>A1080.D.05</v>
      </c>
      <c r="B170" s="25" t="str">
        <f>'[1]ALC-Master'!C170</f>
        <v>Ash Truck Positioning and Empty/Full Detection Devices delivery</v>
      </c>
      <c r="C170" s="20">
        <f>[1]ALC!G170</f>
        <v>6.1950511866104294E-3</v>
      </c>
      <c r="D170" s="21">
        <f>[1]ALC!D170</f>
        <v>45224</v>
      </c>
      <c r="E170" s="22">
        <f>[1]ALC!E170</f>
        <v>45266</v>
      </c>
      <c r="F170" s="23">
        <v>1</v>
      </c>
      <c r="G170" s="23" t="str">
        <f t="shared" si="28"/>
        <v>0%</v>
      </c>
      <c r="H170" s="17">
        <f t="shared" si="29"/>
        <v>0</v>
      </c>
      <c r="I170" s="17">
        <v>6.1950511866104294E-3</v>
      </c>
      <c r="J170" s="17">
        <f t="shared" si="30"/>
        <v>-6.1950511866104294E-3</v>
      </c>
      <c r="K170" s="26" t="str">
        <f>VLOOKUP(A170,'[1]MS Progress'!$A:$Q,6,FALSE)</f>
        <v>0%</v>
      </c>
      <c r="L170" s="18"/>
    </row>
    <row r="171" spans="1:12" ht="14.25" customHeight="1" x14ac:dyDescent="0.25">
      <c r="A171" s="25" t="str">
        <f>'[1]ALC-Master'!A171</f>
        <v>A1090</v>
      </c>
      <c r="B171" s="25" t="str">
        <f>'[1]ALC-Master'!C171</f>
        <v>Installation</v>
      </c>
      <c r="C171" s="20"/>
      <c r="D171" s="21"/>
      <c r="E171" s="22"/>
      <c r="F171" s="23"/>
      <c r="G171" s="23"/>
      <c r="H171" s="17"/>
      <c r="I171" s="17"/>
      <c r="J171" s="17"/>
      <c r="K171" s="18"/>
      <c r="L171" s="18"/>
    </row>
    <row r="172" spans="1:12" ht="14.25" customHeight="1" x14ac:dyDescent="0.25">
      <c r="A172" s="25" t="str">
        <f>'[1]ALC-Master'!A172</f>
        <v>A1090.I.01</v>
      </c>
      <c r="B172" s="25" t="str">
        <f>'[1]ALC-Master'!C172</f>
        <v>Weighbridge Foundation &amp; Control Room ready for Installation</v>
      </c>
      <c r="C172" s="20">
        <f>[1]ALC!G172</f>
        <v>5.1625426555086912E-4</v>
      </c>
      <c r="D172" s="21">
        <f>[1]ALC!D172</f>
        <v>45294</v>
      </c>
      <c r="E172" s="22">
        <f>[1]ALC!E172</f>
        <v>45296</v>
      </c>
      <c r="F172" s="23">
        <v>1</v>
      </c>
      <c r="G172" s="23" t="str">
        <f t="shared" ref="G172:G192" si="31">K172</f>
        <v>0%</v>
      </c>
      <c r="H172" s="17">
        <f t="shared" ref="H172:H192" si="32">(G172/F172)*C172</f>
        <v>0</v>
      </c>
      <c r="I172" s="17">
        <v>5.1625426555086912E-4</v>
      </c>
      <c r="J172" s="17">
        <f t="shared" ref="J172:J192" si="33">H172-I172</f>
        <v>-5.1625426555086912E-4</v>
      </c>
      <c r="K172" s="26" t="str">
        <f>VLOOKUP(A172,'[1]MS Progress'!$A:$Q,6,FALSE)</f>
        <v>0%</v>
      </c>
      <c r="L172" s="18"/>
    </row>
    <row r="173" spans="1:12" ht="14.25" customHeight="1" x14ac:dyDescent="0.25">
      <c r="A173" s="25" t="str">
        <f>'[1]ALC-Master'!A173</f>
        <v>A1090.I.02</v>
      </c>
      <c r="B173" s="25" t="str">
        <f>'[1]ALC-Master'!C173</f>
        <v>Electrical and instrumentation works</v>
      </c>
      <c r="C173" s="20">
        <f>[1]ALC!G173</f>
        <v>1.7208475518362302E-4</v>
      </c>
      <c r="D173" s="21">
        <f>[1]ALC!D173</f>
        <v>45297</v>
      </c>
      <c r="E173" s="22">
        <f>[1]ALC!E173</f>
        <v>45297</v>
      </c>
      <c r="F173" s="23">
        <v>1</v>
      </c>
      <c r="G173" s="23" t="str">
        <f t="shared" si="31"/>
        <v>0%</v>
      </c>
      <c r="H173" s="17">
        <f t="shared" si="32"/>
        <v>0</v>
      </c>
      <c r="I173" s="17">
        <v>1.7208475518362302E-4</v>
      </c>
      <c r="J173" s="17">
        <f t="shared" si="33"/>
        <v>-1.7208475518362302E-4</v>
      </c>
      <c r="K173" s="26" t="str">
        <f>VLOOKUP(A173,'[1]MS Progress'!$A:$Q,6,FALSE)</f>
        <v>0%</v>
      </c>
      <c r="L173" s="18"/>
    </row>
    <row r="174" spans="1:12" ht="14.25" customHeight="1" x14ac:dyDescent="0.25">
      <c r="A174" s="25" t="str">
        <f>'[1]ALC-Master'!A174</f>
        <v>A1090.I.03</v>
      </c>
      <c r="B174" s="25" t="str">
        <f>'[1]ALC-Master'!C174</f>
        <v>Public Announcement System</v>
      </c>
      <c r="C174" s="20">
        <f>[1]ALC!G174</f>
        <v>6.1950511866104294E-3</v>
      </c>
      <c r="D174" s="21">
        <f>[1]ALC!D174</f>
        <v>45299</v>
      </c>
      <c r="E174" s="22">
        <f>[1]ALC!E174</f>
        <v>45342</v>
      </c>
      <c r="F174" s="23">
        <v>1</v>
      </c>
      <c r="G174" s="23" t="str">
        <f t="shared" si="31"/>
        <v>0%</v>
      </c>
      <c r="H174" s="17">
        <f t="shared" si="32"/>
        <v>0</v>
      </c>
      <c r="I174" s="17">
        <v>6.1950511866104294E-3</v>
      </c>
      <c r="J174" s="17">
        <f t="shared" si="33"/>
        <v>-6.1950511866104294E-3</v>
      </c>
      <c r="K174" s="26" t="str">
        <f>VLOOKUP(A174,'[1]MS Progress'!$A:$Q,6,FALSE)</f>
        <v>0%</v>
      </c>
      <c r="L174" s="18"/>
    </row>
    <row r="175" spans="1:12" ht="14.25" customHeight="1" x14ac:dyDescent="0.25">
      <c r="A175" s="25" t="str">
        <f>'[1]ALC-Master'!A175</f>
        <v>A1090.I.04</v>
      </c>
      <c r="B175" s="25" t="str">
        <f>'[1]ALC-Master'!C175</f>
        <v>Weighbridges</v>
      </c>
      <c r="C175" s="20">
        <f>[1]ALC!G175</f>
        <v>1.6520136497627812E-2</v>
      </c>
      <c r="D175" s="21">
        <f>[1]ALC!D175</f>
        <v>45310</v>
      </c>
      <c r="E175" s="22">
        <f>[1]ALC!E175</f>
        <v>45427</v>
      </c>
      <c r="F175" s="23">
        <v>1</v>
      </c>
      <c r="G175" s="23" t="str">
        <f t="shared" si="31"/>
        <v>0%</v>
      </c>
      <c r="H175" s="17">
        <f t="shared" si="32"/>
        <v>0</v>
      </c>
      <c r="I175" s="17">
        <v>1.6520136497627812E-2</v>
      </c>
      <c r="J175" s="17">
        <f t="shared" si="33"/>
        <v>-1.6520136497627812E-2</v>
      </c>
      <c r="K175" s="26" t="str">
        <f>VLOOKUP(A175,'[1]MS Progress'!$A:$Q,6,FALSE)</f>
        <v>0%</v>
      </c>
      <c r="L175" s="18"/>
    </row>
    <row r="176" spans="1:12" ht="14.25" customHeight="1" x14ac:dyDescent="0.25">
      <c r="A176" s="25" t="str">
        <f>'[1]ALC-Master'!A176</f>
        <v>A1090.I.05</v>
      </c>
      <c r="B176" s="25" t="str">
        <f>'[1]ALC-Master'!C176</f>
        <v>Furniture</v>
      </c>
      <c r="C176" s="20">
        <f>[1]ALC!G176</f>
        <v>3.0975255933052147E-3</v>
      </c>
      <c r="D176" s="21">
        <f>[1]ALC!D176</f>
        <v>45299</v>
      </c>
      <c r="E176" s="22">
        <f>[1]ALC!E176</f>
        <v>45318</v>
      </c>
      <c r="F176" s="23">
        <v>1</v>
      </c>
      <c r="G176" s="23" t="str">
        <f t="shared" si="31"/>
        <v>0%</v>
      </c>
      <c r="H176" s="17">
        <f t="shared" si="32"/>
        <v>0</v>
      </c>
      <c r="I176" s="17">
        <v>3.0975255933052147E-3</v>
      </c>
      <c r="J176" s="17">
        <f t="shared" si="33"/>
        <v>-3.0975255933052147E-3</v>
      </c>
      <c r="K176" s="26" t="str">
        <f>VLOOKUP(A176,'[1]MS Progress'!$A:$Q,6,FALSE)</f>
        <v>0%</v>
      </c>
      <c r="L176" s="18"/>
    </row>
    <row r="177" spans="1:12" ht="14.25" customHeight="1" x14ac:dyDescent="0.25">
      <c r="A177" s="25" t="str">
        <f>'[1]ALC-Master'!A177</f>
        <v>A1090.I.06</v>
      </c>
      <c r="B177" s="25" t="str">
        <f>'[1]ALC-Master'!C177</f>
        <v>Rack</v>
      </c>
      <c r="C177" s="20">
        <f>[1]ALC!G177</f>
        <v>3.0975255933052147E-3</v>
      </c>
      <c r="D177" s="21">
        <f>[1]ALC!D177</f>
        <v>45299</v>
      </c>
      <c r="E177" s="22">
        <f>[1]ALC!E177</f>
        <v>45318</v>
      </c>
      <c r="F177" s="23">
        <v>1</v>
      </c>
      <c r="G177" s="23" t="str">
        <f t="shared" si="31"/>
        <v>0%</v>
      </c>
      <c r="H177" s="17">
        <f t="shared" si="32"/>
        <v>0</v>
      </c>
      <c r="I177" s="17">
        <v>3.0975255933052147E-3</v>
      </c>
      <c r="J177" s="17">
        <f t="shared" si="33"/>
        <v>-3.0975255933052147E-3</v>
      </c>
      <c r="K177" s="26" t="str">
        <f>VLOOKUP(A177,'[1]MS Progress'!$A:$Q,6,FALSE)</f>
        <v>0%</v>
      </c>
      <c r="L177" s="18"/>
    </row>
    <row r="178" spans="1:12" ht="14.25" customHeight="1" x14ac:dyDescent="0.25">
      <c r="A178" s="25" t="str">
        <f>'[1]ALC-Master'!A178</f>
        <v>A1090.I.07</v>
      </c>
      <c r="B178" s="25" t="str">
        <f>'[1]ALC-Master'!C178</f>
        <v>UPS</v>
      </c>
      <c r="C178" s="20">
        <f>[1]ALC!G178</f>
        <v>3.0975255933052147E-3</v>
      </c>
      <c r="D178" s="21">
        <f>[1]ALC!D178</f>
        <v>45299</v>
      </c>
      <c r="E178" s="22">
        <f>[1]ALC!E178</f>
        <v>45318</v>
      </c>
      <c r="F178" s="23">
        <v>1</v>
      </c>
      <c r="G178" s="23" t="str">
        <f t="shared" si="31"/>
        <v>0%</v>
      </c>
      <c r="H178" s="17">
        <f t="shared" si="32"/>
        <v>0</v>
      </c>
      <c r="I178" s="17">
        <v>3.0975255933052147E-3</v>
      </c>
      <c r="J178" s="17">
        <f t="shared" si="33"/>
        <v>-3.0975255933052147E-3</v>
      </c>
      <c r="K178" s="26" t="str">
        <f>VLOOKUP(A178,'[1]MS Progress'!$A:$Q,6,FALSE)</f>
        <v>0%</v>
      </c>
      <c r="L178" s="18"/>
    </row>
    <row r="179" spans="1:12" ht="14.25" customHeight="1" x14ac:dyDescent="0.25">
      <c r="A179" s="25" t="str">
        <f>'[1]ALC-Master'!A179</f>
        <v>A1090.I.08</v>
      </c>
      <c r="B179" s="25" t="str">
        <f>'[1]ALC-Master'!C179</f>
        <v>Data Processing System (DPS)</v>
      </c>
      <c r="C179" s="20">
        <f>[1]ALC!G179</f>
        <v>4.6462883899578223E-3</v>
      </c>
      <c r="D179" s="21">
        <f>[1]ALC!D179</f>
        <v>45299</v>
      </c>
      <c r="E179" s="22">
        <f>[1]ALC!E179</f>
        <v>45329</v>
      </c>
      <c r="F179" s="23">
        <v>1</v>
      </c>
      <c r="G179" s="23" t="str">
        <f t="shared" si="31"/>
        <v>0%</v>
      </c>
      <c r="H179" s="17">
        <f t="shared" si="32"/>
        <v>0</v>
      </c>
      <c r="I179" s="17">
        <v>4.6462883899578223E-3</v>
      </c>
      <c r="J179" s="17">
        <f t="shared" si="33"/>
        <v>-4.6462883899578223E-3</v>
      </c>
      <c r="K179" s="26" t="str">
        <f>VLOOKUP(A179,'[1]MS Progress'!$A:$Q,6,FALSE)</f>
        <v>0%</v>
      </c>
      <c r="L179" s="18"/>
    </row>
    <row r="180" spans="1:12" ht="14.25" customHeight="1" x14ac:dyDescent="0.25">
      <c r="A180" s="25" t="str">
        <f>'[1]ALC-Master'!A180</f>
        <v>A1090.I.09</v>
      </c>
      <c r="B180" s="25" t="str">
        <f>'[1]ALC-Master'!C180</f>
        <v>Data Communication System</v>
      </c>
      <c r="C180" s="20">
        <f>[1]ALC!G180</f>
        <v>4.6462883899578223E-3</v>
      </c>
      <c r="D180" s="21">
        <f>[1]ALC!D180</f>
        <v>45299</v>
      </c>
      <c r="E180" s="22">
        <f>[1]ALC!E180</f>
        <v>45329</v>
      </c>
      <c r="F180" s="23">
        <v>1</v>
      </c>
      <c r="G180" s="23" t="str">
        <f t="shared" si="31"/>
        <v>0%</v>
      </c>
      <c r="H180" s="17">
        <f t="shared" si="32"/>
        <v>0</v>
      </c>
      <c r="I180" s="17">
        <v>4.6462883899578223E-3</v>
      </c>
      <c r="J180" s="17">
        <f t="shared" si="33"/>
        <v>-4.6462883899578223E-3</v>
      </c>
      <c r="K180" s="26" t="str">
        <f>VLOOKUP(A180,'[1]MS Progress'!$A:$Q,6,FALSE)</f>
        <v>0%</v>
      </c>
      <c r="L180" s="18"/>
    </row>
    <row r="181" spans="1:12" ht="14.25" customHeight="1" x14ac:dyDescent="0.25">
      <c r="A181" s="25" t="str">
        <f>'[1]ALC-Master'!A181</f>
        <v>A1090.I.10</v>
      </c>
      <c r="B181" s="25" t="str">
        <f>'[1]ALC-Master'!C181</f>
        <v>Interfacing Controller (IFC)</v>
      </c>
      <c r="C181" s="20">
        <f>[1]ALC!G181</f>
        <v>3.0975255933052147E-3</v>
      </c>
      <c r="D181" s="21">
        <f>[1]ALC!D181</f>
        <v>45299</v>
      </c>
      <c r="E181" s="22">
        <f>[1]ALC!E181</f>
        <v>45318</v>
      </c>
      <c r="F181" s="23">
        <v>1</v>
      </c>
      <c r="G181" s="23" t="str">
        <f t="shared" si="31"/>
        <v>0%</v>
      </c>
      <c r="H181" s="17">
        <f t="shared" si="32"/>
        <v>0</v>
      </c>
      <c r="I181" s="17">
        <v>3.0975255933052147E-3</v>
      </c>
      <c r="J181" s="17">
        <f t="shared" si="33"/>
        <v>-3.0975255933052147E-3</v>
      </c>
      <c r="K181" s="26" t="str">
        <f>VLOOKUP(A181,'[1]MS Progress'!$A:$Q,6,FALSE)</f>
        <v>0%</v>
      </c>
      <c r="L181" s="18"/>
    </row>
    <row r="182" spans="1:12" ht="14.25" customHeight="1" x14ac:dyDescent="0.25">
      <c r="A182" s="25" t="str">
        <f>'[1]ALC-Master'!A182</f>
        <v>A1090.I.11</v>
      </c>
      <c r="B182" s="25" t="str">
        <f>'[1]ALC-Master'!C182</f>
        <v>Weighbridge Intercom Kiosk</v>
      </c>
      <c r="C182" s="20">
        <f>[1]ALC!G182</f>
        <v>8.6042377591811509E-3</v>
      </c>
      <c r="D182" s="21">
        <f>[1]ALC!D182</f>
        <v>45299</v>
      </c>
      <c r="E182" s="22">
        <f>[1]ALC!E182</f>
        <v>45358</v>
      </c>
      <c r="F182" s="23">
        <v>1</v>
      </c>
      <c r="G182" s="23" t="str">
        <f t="shared" si="31"/>
        <v>0%</v>
      </c>
      <c r="H182" s="17">
        <f t="shared" si="32"/>
        <v>0</v>
      </c>
      <c r="I182" s="17">
        <v>8.6042377591811509E-3</v>
      </c>
      <c r="J182" s="17">
        <f t="shared" si="33"/>
        <v>-8.6042377591811509E-3</v>
      </c>
      <c r="K182" s="26" t="str">
        <f>VLOOKUP(A182,'[1]MS Progress'!$A:$Q,6,FALSE)</f>
        <v>0%</v>
      </c>
      <c r="L182" s="18"/>
    </row>
    <row r="183" spans="1:12" ht="14.25" customHeight="1" x14ac:dyDescent="0.25">
      <c r="A183" s="25" t="str">
        <f>'[1]ALC-Master'!A183</f>
        <v>A1090.I.12</v>
      </c>
      <c r="B183" s="25" t="str">
        <f>'[1]ALC-Master'!C183</f>
        <v>EPS Antenna</v>
      </c>
      <c r="C183" s="20">
        <f>[1]ALC!G183</f>
        <v>4.4742036347741989E-3</v>
      </c>
      <c r="D183" s="21">
        <f>[1]ALC!D183</f>
        <v>45299</v>
      </c>
      <c r="E183" s="22">
        <f>[1]ALC!E183</f>
        <v>45328</v>
      </c>
      <c r="F183" s="23">
        <v>1</v>
      </c>
      <c r="G183" s="23" t="str">
        <f t="shared" si="31"/>
        <v>0%</v>
      </c>
      <c r="H183" s="17">
        <f t="shared" si="32"/>
        <v>0</v>
      </c>
      <c r="I183" s="17">
        <v>4.4742036347741989E-3</v>
      </c>
      <c r="J183" s="17">
        <f t="shared" si="33"/>
        <v>-4.4742036347741989E-3</v>
      </c>
      <c r="K183" s="26" t="str">
        <f>VLOOKUP(A183,'[1]MS Progress'!$A:$Q,6,FALSE)</f>
        <v>0%</v>
      </c>
      <c r="L183" s="18"/>
    </row>
    <row r="184" spans="1:12" ht="14.25" customHeight="1" x14ac:dyDescent="0.25">
      <c r="A184" s="25" t="str">
        <f>'[1]ALC-Master'!A184</f>
        <v>A1090.I.13</v>
      </c>
      <c r="B184" s="25" t="str">
        <f>'[1]ALC-Master'!C184</f>
        <v>Traffic Lights</v>
      </c>
      <c r="C184" s="20">
        <f>[1]ALC!G184</f>
        <v>4.4742036347741989E-3</v>
      </c>
      <c r="D184" s="21">
        <f>[1]ALC!D184</f>
        <v>45299</v>
      </c>
      <c r="E184" s="22">
        <f>[1]ALC!E184</f>
        <v>45328</v>
      </c>
      <c r="F184" s="23">
        <v>1</v>
      </c>
      <c r="G184" s="23" t="str">
        <f t="shared" si="31"/>
        <v>0%</v>
      </c>
      <c r="H184" s="17">
        <f t="shared" si="32"/>
        <v>0</v>
      </c>
      <c r="I184" s="17">
        <v>4.4742036347741989E-3</v>
      </c>
      <c r="J184" s="17">
        <f t="shared" si="33"/>
        <v>-4.4742036347741989E-3</v>
      </c>
      <c r="K184" s="26" t="str">
        <f>VLOOKUP(A184,'[1]MS Progress'!$A:$Q,6,FALSE)</f>
        <v>0%</v>
      </c>
      <c r="L184" s="18"/>
    </row>
    <row r="185" spans="1:12" ht="14.25" customHeight="1" x14ac:dyDescent="0.25">
      <c r="A185" s="25" t="str">
        <f>'[1]ALC-Master'!A185</f>
        <v>A1090.I.14</v>
      </c>
      <c r="B185" s="25" t="str">
        <f>'[1]ALC-Master'!C185</f>
        <v>Barriers</v>
      </c>
      <c r="C185" s="20">
        <f>[1]ALC!G185</f>
        <v>4.4742036347741989E-3</v>
      </c>
      <c r="D185" s="21">
        <f>[1]ALC!D185</f>
        <v>45299</v>
      </c>
      <c r="E185" s="22">
        <f>[1]ALC!E185</f>
        <v>45328</v>
      </c>
      <c r="F185" s="23">
        <v>1</v>
      </c>
      <c r="G185" s="23" t="str">
        <f t="shared" si="31"/>
        <v>0%</v>
      </c>
      <c r="H185" s="17">
        <f t="shared" si="32"/>
        <v>0</v>
      </c>
      <c r="I185" s="17">
        <v>4.4742036347741989E-3</v>
      </c>
      <c r="J185" s="17">
        <f t="shared" si="33"/>
        <v>-4.4742036347741989E-3</v>
      </c>
      <c r="K185" s="26" t="str">
        <f>VLOOKUP(A185,'[1]MS Progress'!$A:$Q,6,FALSE)</f>
        <v>0%</v>
      </c>
      <c r="L185" s="18"/>
    </row>
    <row r="186" spans="1:12" ht="14.25" customHeight="1" x14ac:dyDescent="0.25">
      <c r="A186" s="25" t="str">
        <f>'[1]ALC-Master'!A186</f>
        <v>A1090.I.15</v>
      </c>
      <c r="B186" s="25" t="str">
        <f>'[1]ALC-Master'!C186</f>
        <v>License Plate Recognition System (LPR)</v>
      </c>
      <c r="C186" s="20">
        <f>[1]ALC!G186</f>
        <v>4.4742036347741989E-3</v>
      </c>
      <c r="D186" s="21">
        <f>[1]ALC!D186</f>
        <v>45299</v>
      </c>
      <c r="E186" s="22">
        <f>[1]ALC!E186</f>
        <v>45328</v>
      </c>
      <c r="F186" s="23">
        <v>1</v>
      </c>
      <c r="G186" s="23" t="str">
        <f t="shared" si="31"/>
        <v>0%</v>
      </c>
      <c r="H186" s="17">
        <f t="shared" si="32"/>
        <v>0</v>
      </c>
      <c r="I186" s="17">
        <v>4.4742036347741989E-3</v>
      </c>
      <c r="J186" s="17">
        <f t="shared" si="33"/>
        <v>-4.4742036347741989E-3</v>
      </c>
      <c r="K186" s="26" t="str">
        <f>VLOOKUP(A186,'[1]MS Progress'!$A:$Q,6,FALSE)</f>
        <v>0%</v>
      </c>
      <c r="L186" s="18"/>
    </row>
    <row r="187" spans="1:12" ht="14.25" customHeight="1" x14ac:dyDescent="0.25">
      <c r="A187" s="25" t="str">
        <f>'[1]ALC-Master'!A187</f>
        <v>A1090.I.16</v>
      </c>
      <c r="B187" s="25" t="str">
        <f>'[1]ALC-Master'!C187</f>
        <v>Video Recording System (VRS)</v>
      </c>
      <c r="C187" s="20">
        <f>[1]ALC!G187</f>
        <v>4.4742036347741989E-3</v>
      </c>
      <c r="D187" s="21">
        <f>[1]ALC!D187</f>
        <v>45299</v>
      </c>
      <c r="E187" s="22">
        <f>[1]ALC!E187</f>
        <v>45328</v>
      </c>
      <c r="F187" s="23">
        <v>1</v>
      </c>
      <c r="G187" s="23" t="str">
        <f t="shared" si="31"/>
        <v>0%</v>
      </c>
      <c r="H187" s="17">
        <f t="shared" si="32"/>
        <v>0</v>
      </c>
      <c r="I187" s="17">
        <v>4.4742036347741989E-3</v>
      </c>
      <c r="J187" s="17">
        <f t="shared" si="33"/>
        <v>-4.4742036347741989E-3</v>
      </c>
      <c r="K187" s="26" t="str">
        <f>VLOOKUP(A187,'[1]MS Progress'!$A:$Q,6,FALSE)</f>
        <v>0%</v>
      </c>
      <c r="L187" s="18"/>
    </row>
    <row r="188" spans="1:12" ht="14.25" customHeight="1" x14ac:dyDescent="0.25">
      <c r="A188" s="25" t="str">
        <f>'[1]ALC-Master'!A188</f>
        <v>A1090.I.17</v>
      </c>
      <c r="B188" s="25" t="str">
        <f>'[1]ALC-Master'!C188</f>
        <v>Radioactive Devices</v>
      </c>
      <c r="C188" s="20">
        <f>[1]ALC!G188</f>
        <v>4.1300341244069529E-3</v>
      </c>
      <c r="D188" s="21">
        <f>[1]ALC!D188</f>
        <v>45299</v>
      </c>
      <c r="E188" s="22">
        <f>[1]ALC!E188</f>
        <v>45325</v>
      </c>
      <c r="F188" s="23">
        <v>1</v>
      </c>
      <c r="G188" s="23" t="str">
        <f t="shared" si="31"/>
        <v>0%</v>
      </c>
      <c r="H188" s="17">
        <f t="shared" si="32"/>
        <v>0</v>
      </c>
      <c r="I188" s="17">
        <v>4.1300341244069529E-3</v>
      </c>
      <c r="J188" s="17">
        <f t="shared" si="33"/>
        <v>-4.1300341244069529E-3</v>
      </c>
      <c r="K188" s="26" t="str">
        <f>VLOOKUP(A188,'[1]MS Progress'!$A:$Q,6,FALSE)</f>
        <v>0%</v>
      </c>
      <c r="L188" s="18"/>
    </row>
    <row r="189" spans="1:12" ht="14.25" customHeight="1" x14ac:dyDescent="0.25">
      <c r="A189" s="25" t="str">
        <f>'[1]ALC-Master'!A189</f>
        <v>A1090.I.18</v>
      </c>
      <c r="B189" s="25" t="str">
        <f>'[1]ALC-Master'!C189</f>
        <v>Load Heat Detection Devices</v>
      </c>
      <c r="C189" s="20">
        <f>[1]ALC!G189</f>
        <v>4.1300341244069529E-3</v>
      </c>
      <c r="D189" s="21">
        <f>[1]ALC!D189</f>
        <v>45299</v>
      </c>
      <c r="E189" s="22">
        <f>[1]ALC!E189</f>
        <v>45325</v>
      </c>
      <c r="F189" s="23">
        <v>1</v>
      </c>
      <c r="G189" s="23" t="str">
        <f t="shared" si="31"/>
        <v>0%</v>
      </c>
      <c r="H189" s="17">
        <f t="shared" si="32"/>
        <v>0</v>
      </c>
      <c r="I189" s="17">
        <v>4.1300341244069529E-3</v>
      </c>
      <c r="J189" s="17">
        <f t="shared" si="33"/>
        <v>-4.1300341244069529E-3</v>
      </c>
      <c r="K189" s="26" t="str">
        <f>VLOOKUP(A189,'[1]MS Progress'!$A:$Q,6,FALSE)</f>
        <v>0%</v>
      </c>
      <c r="L189" s="18"/>
    </row>
    <row r="190" spans="1:12" ht="14.25" customHeight="1" x14ac:dyDescent="0.25">
      <c r="A190" s="25" t="str">
        <f>'[1]ALC-Master'!A190</f>
        <v>A1090.I.19</v>
      </c>
      <c r="B190" s="25" t="str">
        <f>'[1]ALC-Master'!C190</f>
        <v>Single weighbridge physical mock-up</v>
      </c>
      <c r="C190" s="20">
        <f>[1]ALC!G190</f>
        <v>6.3671359417940519E-3</v>
      </c>
      <c r="D190" s="21">
        <f>[1]ALC!D190</f>
        <v>45299</v>
      </c>
      <c r="E190" s="22">
        <f>[1]ALC!E190</f>
        <v>45343</v>
      </c>
      <c r="F190" s="23">
        <v>1</v>
      </c>
      <c r="G190" s="23" t="str">
        <f t="shared" si="31"/>
        <v>0%</v>
      </c>
      <c r="H190" s="17">
        <f t="shared" si="32"/>
        <v>0</v>
      </c>
      <c r="I190" s="17">
        <v>6.3671359417940519E-3</v>
      </c>
      <c r="J190" s="17">
        <f t="shared" si="33"/>
        <v>-6.3671359417940519E-3</v>
      </c>
      <c r="K190" s="26" t="str">
        <f>VLOOKUP(A190,'[1]MS Progress'!$A:$Q,6,FALSE)</f>
        <v>0%</v>
      </c>
      <c r="L190" s="18"/>
    </row>
    <row r="191" spans="1:12" ht="14.25" customHeight="1" x14ac:dyDescent="0.25">
      <c r="A191" s="25" t="str">
        <f>'[1]ALC-Master'!A191</f>
        <v>A1090.I.20</v>
      </c>
      <c r="B191" s="25" t="str">
        <f>'[1]ALC-Master'!C191</f>
        <v>Zonal Detection System</v>
      </c>
      <c r="C191" s="20">
        <f>[1]ALC!G191</f>
        <v>6.5392206969776753E-3</v>
      </c>
      <c r="D191" s="21">
        <f>[1]ALC!D191</f>
        <v>45299</v>
      </c>
      <c r="E191" s="22">
        <f>[1]ALC!E191</f>
        <v>45344</v>
      </c>
      <c r="F191" s="23">
        <v>1</v>
      </c>
      <c r="G191" s="23" t="str">
        <f t="shared" si="31"/>
        <v>0%</v>
      </c>
      <c r="H191" s="17">
        <f t="shared" si="32"/>
        <v>0</v>
      </c>
      <c r="I191" s="17">
        <v>6.5392206969776753E-3</v>
      </c>
      <c r="J191" s="17">
        <f t="shared" si="33"/>
        <v>-6.5392206969776753E-3</v>
      </c>
      <c r="K191" s="26" t="str">
        <f>VLOOKUP(A191,'[1]MS Progress'!$A:$Q,6,FALSE)</f>
        <v>0%</v>
      </c>
      <c r="L191" s="18"/>
    </row>
    <row r="192" spans="1:12" ht="14.25" customHeight="1" x14ac:dyDescent="0.25">
      <c r="A192" s="25" t="str">
        <f>'[1]ALC-Master'!A192</f>
        <v>A1090.I.21</v>
      </c>
      <c r="B192" s="25" t="str">
        <f>'[1]ALC-Master'!C192</f>
        <v>Ash Truck Positioning and Empty/Full Detection Devices</v>
      </c>
      <c r="C192" s="20">
        <f>[1]ALC!G192</f>
        <v>8.6042377591811509E-3</v>
      </c>
      <c r="D192" s="21">
        <f>[1]ALC!D192</f>
        <v>45299</v>
      </c>
      <c r="E192" s="22">
        <f>[1]ALC!E192</f>
        <v>45358</v>
      </c>
      <c r="F192" s="23">
        <v>1</v>
      </c>
      <c r="G192" s="23" t="str">
        <f t="shared" si="31"/>
        <v>0%</v>
      </c>
      <c r="H192" s="17">
        <f t="shared" si="32"/>
        <v>0</v>
      </c>
      <c r="I192" s="17">
        <v>8.6042377591811509E-3</v>
      </c>
      <c r="J192" s="17">
        <f t="shared" si="33"/>
        <v>-8.6042377591811509E-3</v>
      </c>
      <c r="K192" s="26" t="str">
        <f>VLOOKUP(A192,'[1]MS Progress'!$A:$Q,6,FALSE)</f>
        <v>0%</v>
      </c>
      <c r="L192" s="18"/>
    </row>
    <row r="193" spans="1:12" ht="14.25" customHeight="1" x14ac:dyDescent="0.25">
      <c r="A193" s="25">
        <f>'[1]ALC-Master'!A193</f>
        <v>0</v>
      </c>
      <c r="B193" s="25" t="str">
        <f>'[1]ALC-Master'!C193</f>
        <v>Testing &amp; Commissioning</v>
      </c>
      <c r="C193" s="20"/>
      <c r="D193" s="21"/>
      <c r="E193" s="22"/>
      <c r="F193" s="23"/>
      <c r="G193" s="23"/>
      <c r="H193" s="17"/>
      <c r="I193" s="17"/>
      <c r="J193" s="17"/>
      <c r="K193" s="18"/>
      <c r="L193" s="18"/>
    </row>
    <row r="194" spans="1:12" ht="14.25" customHeight="1" x14ac:dyDescent="0.25">
      <c r="A194" s="25" t="str">
        <f>'[1]ALC-Master'!A194</f>
        <v>A1100</v>
      </c>
      <c r="B194" s="25" t="str">
        <f>'[1]ALC-Master'!C194</f>
        <v>ERP/ DCS Interface Readiness</v>
      </c>
      <c r="C194" s="20">
        <f>[1]ALC!G194</f>
        <v>1.7208475518362302E-4</v>
      </c>
      <c r="D194" s="21">
        <f>[1]ALC!D194</f>
        <v>45442</v>
      </c>
      <c r="E194" s="22">
        <f>[1]ALC!E194</f>
        <v>45442</v>
      </c>
      <c r="F194" s="23">
        <v>1</v>
      </c>
      <c r="G194" s="23" t="str">
        <f>K194</f>
        <v>0%</v>
      </c>
      <c r="H194" s="17">
        <f>(G194/F194)*C194</f>
        <v>0</v>
      </c>
      <c r="I194" s="17">
        <v>1.7208475518362302E-4</v>
      </c>
      <c r="J194" s="17">
        <f>H194-I194</f>
        <v>-1.7208475518362302E-4</v>
      </c>
      <c r="K194" s="26" t="str">
        <f>VLOOKUP(A194,'[1]MS Progress'!$A:$Q,6,FALSE)</f>
        <v>0%</v>
      </c>
      <c r="L194" s="18"/>
    </row>
    <row r="195" spans="1:12" ht="14.25" customHeight="1" x14ac:dyDescent="0.25">
      <c r="A195" s="25" t="str">
        <f>'[1]ALC-Master'!A195</f>
        <v>A1110</v>
      </c>
      <c r="B195" s="25" t="str">
        <f>'[1]ALC-Master'!C195</f>
        <v>Site Acceptance Test</v>
      </c>
      <c r="C195" s="20"/>
      <c r="D195" s="21"/>
      <c r="E195" s="22"/>
      <c r="F195" s="23"/>
      <c r="G195" s="23"/>
      <c r="H195" s="17"/>
      <c r="I195" s="17"/>
      <c r="J195" s="17"/>
      <c r="K195" s="18"/>
      <c r="L195" s="18"/>
    </row>
    <row r="196" spans="1:12" ht="14.25" customHeight="1" x14ac:dyDescent="0.25">
      <c r="A196" s="25" t="str">
        <f>'[1]ALC-Master'!A196</f>
        <v>A1110.S.01</v>
      </c>
      <c r="B196" s="25" t="str">
        <f>'[1]ALC-Master'!C196</f>
        <v>Client Inspection of Weighbridge Sub-system</v>
      </c>
      <c r="C196" s="20">
        <f>[1]ALC!G196</f>
        <v>4.3021188795905755E-3</v>
      </c>
      <c r="D196" s="21">
        <f>[1]ALC!D196</f>
        <v>45443</v>
      </c>
      <c r="E196" s="22">
        <f>[1]ALC!E196</f>
        <v>45472</v>
      </c>
      <c r="F196" s="23">
        <v>1</v>
      </c>
      <c r="G196" s="23" t="str">
        <f t="shared" ref="G196:G199" si="34">K196</f>
        <v>0%</v>
      </c>
      <c r="H196" s="17">
        <f t="shared" ref="H196:H199" si="35">(G196/F196)*C196</f>
        <v>0</v>
      </c>
      <c r="I196" s="17">
        <v>4.3021188795905755E-3</v>
      </c>
      <c r="J196" s="17">
        <f t="shared" ref="J196:J199" si="36">H196-I196</f>
        <v>-4.3021188795905755E-3</v>
      </c>
      <c r="K196" s="26" t="str">
        <f>VLOOKUP(A196,'[1]MS Progress'!$A:$Q,6,FALSE)</f>
        <v>0%</v>
      </c>
      <c r="L196" s="18"/>
    </row>
    <row r="197" spans="1:12" ht="14.25" customHeight="1" x14ac:dyDescent="0.25">
      <c r="A197" s="25" t="str">
        <f>'[1]ALC-Master'!A197</f>
        <v>A1110.S.02</v>
      </c>
      <c r="B197" s="25" t="str">
        <f>'[1]ALC-Master'!C197</f>
        <v>Client Inspection of Zonal Detection Sub-system</v>
      </c>
      <c r="C197" s="20">
        <f>[1]ALC!G197</f>
        <v>4.6462883899578223E-3</v>
      </c>
      <c r="D197" s="21">
        <f>[1]ALC!D197</f>
        <v>45474</v>
      </c>
      <c r="E197" s="22">
        <f>[1]ALC!E197</f>
        <v>45504</v>
      </c>
      <c r="F197" s="23">
        <v>1</v>
      </c>
      <c r="G197" s="23" t="str">
        <f t="shared" si="34"/>
        <v>0%</v>
      </c>
      <c r="H197" s="17">
        <f t="shared" si="35"/>
        <v>0</v>
      </c>
      <c r="I197" s="17">
        <v>4.6462883899578223E-3</v>
      </c>
      <c r="J197" s="17">
        <f t="shared" si="36"/>
        <v>-4.6462883899578223E-3</v>
      </c>
      <c r="K197" s="26" t="str">
        <f>VLOOKUP(A197,'[1]MS Progress'!$A:$Q,6,FALSE)</f>
        <v>0%</v>
      </c>
      <c r="L197" s="18"/>
    </row>
    <row r="198" spans="1:12" ht="14.25" customHeight="1" x14ac:dyDescent="0.25">
      <c r="A198" s="25" t="str">
        <f>'[1]ALC-Master'!A198</f>
        <v>A1110.S.03</v>
      </c>
      <c r="B198" s="25" t="str">
        <f>'[1]ALC-Master'!C198</f>
        <v>Punchlist Clearance</v>
      </c>
      <c r="C198" s="20">
        <f>[1]ALC!G198</f>
        <v>3.4416951036724606E-3</v>
      </c>
      <c r="D198" s="21">
        <f>[1]ALC!D198</f>
        <v>45505</v>
      </c>
      <c r="E198" s="22">
        <f>[1]ALC!E198</f>
        <v>45527</v>
      </c>
      <c r="F198" s="23">
        <v>1</v>
      </c>
      <c r="G198" s="23" t="str">
        <f t="shared" si="34"/>
        <v>0%</v>
      </c>
      <c r="H198" s="17">
        <f t="shared" si="35"/>
        <v>0</v>
      </c>
      <c r="I198" s="17">
        <v>3.4416951036724606E-3</v>
      </c>
      <c r="J198" s="17">
        <f t="shared" si="36"/>
        <v>-3.4416951036724606E-3</v>
      </c>
      <c r="K198" s="26" t="str">
        <f>VLOOKUP(A198,'[1]MS Progress'!$A:$Q,6,FALSE)</f>
        <v>0%</v>
      </c>
      <c r="L198" s="18"/>
    </row>
    <row r="199" spans="1:12" ht="14.25" customHeight="1" x14ac:dyDescent="0.25">
      <c r="A199" s="25" t="str">
        <f>'[1]ALC-Master'!A199</f>
        <v>A1110.S.04</v>
      </c>
      <c r="B199" s="25" t="str">
        <f>'[1]ALC-Master'!C199</f>
        <v>User Training</v>
      </c>
      <c r="C199" s="20">
        <f>[1]ALC!G199</f>
        <v>3.0975255933052147E-3</v>
      </c>
      <c r="D199" s="21">
        <f>[1]ALC!D199</f>
        <v>45528</v>
      </c>
      <c r="E199" s="22">
        <f>[1]ALC!E199</f>
        <v>45548</v>
      </c>
      <c r="F199" s="23">
        <v>1</v>
      </c>
      <c r="G199" s="23" t="str">
        <f t="shared" si="34"/>
        <v>0%</v>
      </c>
      <c r="H199" s="17">
        <f t="shared" si="35"/>
        <v>0</v>
      </c>
      <c r="I199" s="17">
        <v>3.0975255933052147E-3</v>
      </c>
      <c r="J199" s="17">
        <f t="shared" si="36"/>
        <v>-3.0975255933052147E-3</v>
      </c>
      <c r="K199" s="26" t="str">
        <f>VLOOKUP(A199,'[1]MS Progress'!$A:$Q,6,FALSE)</f>
        <v>0%</v>
      </c>
      <c r="L199" s="18"/>
    </row>
    <row r="200" spans="1:12" ht="14.25" customHeight="1" x14ac:dyDescent="0.25">
      <c r="A200" s="25" t="str">
        <f>'[1]ALC-Master'!A200</f>
        <v>A1120</v>
      </c>
      <c r="B200" s="25" t="str">
        <f>'[1]ALC-Master'!C200</f>
        <v>System Commissioning Test</v>
      </c>
      <c r="C200" s="20"/>
      <c r="D200" s="21"/>
      <c r="E200" s="22"/>
      <c r="F200" s="23"/>
      <c r="G200" s="23"/>
      <c r="H200" s="17"/>
      <c r="I200" s="17"/>
      <c r="J200" s="17"/>
      <c r="K200" s="18"/>
      <c r="L200" s="18"/>
    </row>
    <row r="201" spans="1:12" ht="14.25" customHeight="1" x14ac:dyDescent="0.25">
      <c r="A201" s="25" t="str">
        <f>'[1]ALC-Master'!A201</f>
        <v>A1120.S.01</v>
      </c>
      <c r="B201" s="25" t="str">
        <f>'[1]ALC-Master'!C201</f>
        <v>Weighbridge (Line 1&amp;2) System Conduct System Commissioning Test - Hardware</v>
      </c>
      <c r="C201" s="20">
        <f>[1]ALC!G201</f>
        <v>1.3766780414689843E-2</v>
      </c>
      <c r="D201" s="21">
        <f>[1]ALC!D201</f>
        <v>45549</v>
      </c>
      <c r="E201" s="22">
        <f>[1]ALC!E201</f>
        <v>45642</v>
      </c>
      <c r="F201" s="23">
        <v>1</v>
      </c>
      <c r="G201" s="23" t="str">
        <f t="shared" ref="G201:G206" si="37">K201</f>
        <v>0%</v>
      </c>
      <c r="H201" s="17">
        <f t="shared" ref="H201:H206" si="38">(G201/F201)*C201</f>
        <v>0</v>
      </c>
      <c r="I201" s="17">
        <v>1.3766780414689843E-2</v>
      </c>
      <c r="J201" s="17">
        <f t="shared" ref="J201:J206" si="39">H201-I201</f>
        <v>-1.3766780414689843E-2</v>
      </c>
      <c r="K201" s="26" t="str">
        <f>VLOOKUP(A201,'[1]MS Progress'!$A:$Q,6,FALSE)</f>
        <v>0%</v>
      </c>
      <c r="L201" s="18"/>
    </row>
    <row r="202" spans="1:12" ht="14.25" customHeight="1" x14ac:dyDescent="0.25">
      <c r="A202" s="25" t="str">
        <f>'[1]ALC-Master'!A202</f>
        <v>A1120.S.02</v>
      </c>
      <c r="B202" s="25" t="str">
        <f>'[1]ALC-Master'!C202</f>
        <v>Weighbridge (Line 1&amp;2) System Conduct System Commissioning Test - Software</v>
      </c>
      <c r="C202" s="20">
        <f>[1]ALC!G202</f>
        <v>1.3766780414689843E-2</v>
      </c>
      <c r="D202" s="21">
        <f>[1]ALC!D202</f>
        <v>45549</v>
      </c>
      <c r="E202" s="22">
        <f>[1]ALC!E202</f>
        <v>45642</v>
      </c>
      <c r="F202" s="23">
        <v>1</v>
      </c>
      <c r="G202" s="23" t="str">
        <f t="shared" si="37"/>
        <v>0%</v>
      </c>
      <c r="H202" s="17">
        <f t="shared" si="38"/>
        <v>0</v>
      </c>
      <c r="I202" s="17">
        <v>1.3766780414689843E-2</v>
      </c>
      <c r="J202" s="17">
        <f t="shared" si="39"/>
        <v>-1.3766780414689843E-2</v>
      </c>
      <c r="K202" s="26" t="str">
        <f>VLOOKUP(A202,'[1]MS Progress'!$A:$Q,6,FALSE)</f>
        <v>0%</v>
      </c>
      <c r="L202" s="18"/>
    </row>
    <row r="203" spans="1:12" ht="14.25" customHeight="1" x14ac:dyDescent="0.25">
      <c r="A203" s="25" t="str">
        <f>'[1]ALC-Master'!A203</f>
        <v>A1120.S.03</v>
      </c>
      <c r="B203" s="25" t="str">
        <f>'[1]ALC-Master'!C203</f>
        <v>Weighbridge Zonal System Conduct System Commissioning Test</v>
      </c>
      <c r="C203" s="20">
        <f>[1]ALC!G203</f>
        <v>1.3766780414689843E-2</v>
      </c>
      <c r="D203" s="21">
        <f>[1]ALC!D203</f>
        <v>45549</v>
      </c>
      <c r="E203" s="22">
        <f>[1]ALC!E203</f>
        <v>45642</v>
      </c>
      <c r="F203" s="23">
        <v>1</v>
      </c>
      <c r="G203" s="23" t="str">
        <f t="shared" si="37"/>
        <v>0%</v>
      </c>
      <c r="H203" s="17">
        <f t="shared" si="38"/>
        <v>0</v>
      </c>
      <c r="I203" s="17">
        <v>1.3766780414689843E-2</v>
      </c>
      <c r="J203" s="17">
        <f t="shared" si="39"/>
        <v>-1.3766780414689843E-2</v>
      </c>
      <c r="K203" s="26" t="str">
        <f>VLOOKUP(A203,'[1]MS Progress'!$A:$Q,6,FALSE)</f>
        <v>0%</v>
      </c>
      <c r="L203" s="18"/>
    </row>
    <row r="204" spans="1:12" ht="14.25" customHeight="1" x14ac:dyDescent="0.25">
      <c r="A204" s="25" t="str">
        <f>'[1]ALC-Master'!A204</f>
        <v>A1120.S.04</v>
      </c>
      <c r="B204" s="25" t="str">
        <f>'[1]ALC-Master'!C204</f>
        <v>Weighbridge (Line 3&amp;4) System Commissioning Test</v>
      </c>
      <c r="C204" s="20">
        <f>[1]ALC!G204</f>
        <v>1.3766780414689843E-2</v>
      </c>
      <c r="D204" s="21">
        <f>[1]ALC!D204</f>
        <v>45643</v>
      </c>
      <c r="E204" s="22">
        <f>[1]ALC!E204</f>
        <v>45735</v>
      </c>
      <c r="F204" s="23">
        <v>1</v>
      </c>
      <c r="G204" s="23" t="str">
        <f t="shared" si="37"/>
        <v>0%</v>
      </c>
      <c r="H204" s="17">
        <f t="shared" si="38"/>
        <v>0</v>
      </c>
      <c r="I204" s="17">
        <v>6.7337512897939445E-3</v>
      </c>
      <c r="J204" s="17">
        <f t="shared" si="39"/>
        <v>-6.7337512897939445E-3</v>
      </c>
      <c r="K204" s="26" t="str">
        <f>VLOOKUP(A204,'[1]MS Progress'!$A:$Q,6,FALSE)</f>
        <v>0%</v>
      </c>
      <c r="L204" s="18"/>
    </row>
    <row r="205" spans="1:12" ht="14.25" customHeight="1" x14ac:dyDescent="0.25">
      <c r="A205" s="25" t="str">
        <f>'[1]ALC-Master'!A205</f>
        <v>A1130</v>
      </c>
      <c r="B205" s="25" t="str">
        <f>'[1]ALC-Master'!C205</f>
        <v>Successful Completion of Trial Operation Test</v>
      </c>
      <c r="C205" s="20">
        <f>[1]ALC!G205</f>
        <v>1.6348051742444188E-2</v>
      </c>
      <c r="D205" s="21">
        <f>[1]ALC!D205</f>
        <v>45737</v>
      </c>
      <c r="E205" s="22">
        <f>[1]ALC!E205</f>
        <v>45847</v>
      </c>
      <c r="F205" s="23">
        <v>1</v>
      </c>
      <c r="G205" s="23" t="str">
        <f t="shared" si="37"/>
        <v>0%</v>
      </c>
      <c r="H205" s="17">
        <f t="shared" si="38"/>
        <v>0</v>
      </c>
      <c r="I205" s="17">
        <v>0</v>
      </c>
      <c r="J205" s="17">
        <f t="shared" si="39"/>
        <v>0</v>
      </c>
      <c r="K205" s="26" t="str">
        <f>VLOOKUP(A205,'[1]MS Progress'!$A:$Q,6,FALSE)</f>
        <v>0%</v>
      </c>
      <c r="L205" s="18"/>
    </row>
    <row r="206" spans="1:12" ht="14.25" customHeight="1" x14ac:dyDescent="0.25">
      <c r="A206" s="25" t="str">
        <f>'[1]ALC-Master'!A206</f>
        <v>A1150</v>
      </c>
      <c r="B206" s="25" t="str">
        <f>'[1]ALC-Master'!C206</f>
        <v>Completion of the whole Sub-Contract Works</v>
      </c>
      <c r="C206" s="20">
        <f>[1]ALC!G206</f>
        <v>9.2925767799156445E-3</v>
      </c>
      <c r="D206" s="21">
        <f>[1]ALC!D206</f>
        <v>45848</v>
      </c>
      <c r="E206" s="22">
        <f>[1]ALC!E206</f>
        <v>45937</v>
      </c>
      <c r="F206" s="23">
        <v>1</v>
      </c>
      <c r="G206" s="23" t="str">
        <f t="shared" si="37"/>
        <v>0%</v>
      </c>
      <c r="H206" s="17">
        <f t="shared" si="38"/>
        <v>0</v>
      </c>
      <c r="I206" s="17">
        <v>0</v>
      </c>
      <c r="J206" s="17">
        <f t="shared" si="39"/>
        <v>0</v>
      </c>
      <c r="K206" s="26" t="str">
        <f>VLOOKUP(A206,'[1]MS Progress'!$A:$Q,6,FALSE)</f>
        <v>0%</v>
      </c>
      <c r="L206" s="18"/>
    </row>
    <row r="207" spans="1:12" ht="14.25" customHeight="1" x14ac:dyDescent="0.25">
      <c r="H207" s="33"/>
      <c r="I207" s="33"/>
    </row>
    <row r="208" spans="1:12" ht="14.25" customHeight="1" x14ac:dyDescent="0.25">
      <c r="H208" s="33"/>
      <c r="I208" s="33"/>
    </row>
    <row r="209" spans="8:9" ht="14.25" customHeight="1" x14ac:dyDescent="0.25">
      <c r="H209" s="33"/>
      <c r="I209" s="33"/>
    </row>
    <row r="210" spans="8:9" ht="14.25" customHeight="1" x14ac:dyDescent="0.25">
      <c r="H210" s="33"/>
      <c r="I210" s="33"/>
    </row>
    <row r="211" spans="8:9" ht="14.25" customHeight="1" x14ac:dyDescent="0.25">
      <c r="H211" s="33"/>
      <c r="I211" s="33"/>
    </row>
    <row r="212" spans="8:9" ht="14.25" customHeight="1" x14ac:dyDescent="0.25">
      <c r="H212" s="33"/>
      <c r="I212" s="33"/>
    </row>
    <row r="213" spans="8:9" ht="14.25" customHeight="1" x14ac:dyDescent="0.25">
      <c r="H213" s="33"/>
      <c r="I213" s="33"/>
    </row>
    <row r="214" spans="8:9" ht="14.25" customHeight="1" x14ac:dyDescent="0.25">
      <c r="H214" s="33"/>
      <c r="I214" s="33"/>
    </row>
    <row r="215" spans="8:9" ht="14.25" customHeight="1" x14ac:dyDescent="0.25">
      <c r="H215" s="33"/>
      <c r="I215" s="33"/>
    </row>
    <row r="216" spans="8:9" ht="14.25" customHeight="1" x14ac:dyDescent="0.25">
      <c r="H216" s="33"/>
      <c r="I216" s="33"/>
    </row>
    <row r="217" spans="8:9" ht="14.25" customHeight="1" x14ac:dyDescent="0.25">
      <c r="H217" s="33"/>
      <c r="I217" s="33"/>
    </row>
    <row r="218" spans="8:9" ht="14.25" customHeight="1" x14ac:dyDescent="0.25">
      <c r="H218" s="33"/>
      <c r="I218" s="33"/>
    </row>
    <row r="219" spans="8:9" ht="14.25" customHeight="1" x14ac:dyDescent="0.25">
      <c r="H219" s="33"/>
      <c r="I219" s="33"/>
    </row>
    <row r="220" spans="8:9" ht="14.25" customHeight="1" x14ac:dyDescent="0.25">
      <c r="H220" s="33"/>
      <c r="I220" s="33"/>
    </row>
    <row r="221" spans="8:9" ht="14.25" customHeight="1" x14ac:dyDescent="0.25">
      <c r="H221" s="33"/>
      <c r="I221" s="33"/>
    </row>
    <row r="222" spans="8:9" ht="14.25" customHeight="1" x14ac:dyDescent="0.25">
      <c r="H222" s="33"/>
      <c r="I222" s="33"/>
    </row>
    <row r="223" spans="8:9" ht="14.25" customHeight="1" x14ac:dyDescent="0.25">
      <c r="H223" s="33"/>
      <c r="I223" s="33"/>
    </row>
    <row r="224" spans="8:9" ht="14.25" customHeight="1" x14ac:dyDescent="0.25">
      <c r="H224" s="33"/>
      <c r="I224" s="33"/>
    </row>
    <row r="225" spans="8:9" ht="14.25" customHeight="1" x14ac:dyDescent="0.25">
      <c r="H225" s="33"/>
      <c r="I225" s="33"/>
    </row>
    <row r="226" spans="8:9" ht="14.25" customHeight="1" x14ac:dyDescent="0.25">
      <c r="H226" s="33"/>
      <c r="I226" s="33"/>
    </row>
    <row r="227" spans="8:9" ht="14.25" customHeight="1" x14ac:dyDescent="0.25">
      <c r="H227" s="33"/>
      <c r="I227" s="33"/>
    </row>
    <row r="228" spans="8:9" ht="14.25" customHeight="1" x14ac:dyDescent="0.25">
      <c r="H228" s="33"/>
      <c r="I228" s="33"/>
    </row>
    <row r="229" spans="8:9" ht="14.25" customHeight="1" x14ac:dyDescent="0.25">
      <c r="H229" s="33"/>
      <c r="I229" s="33"/>
    </row>
    <row r="230" spans="8:9" ht="14.25" customHeight="1" x14ac:dyDescent="0.25">
      <c r="H230" s="33"/>
      <c r="I230" s="33"/>
    </row>
    <row r="231" spans="8:9" ht="14.25" customHeight="1" x14ac:dyDescent="0.25">
      <c r="H231" s="33"/>
      <c r="I231" s="33"/>
    </row>
    <row r="232" spans="8:9" ht="14.25" customHeight="1" x14ac:dyDescent="0.25">
      <c r="H232" s="33"/>
      <c r="I232" s="33"/>
    </row>
    <row r="233" spans="8:9" ht="14.25" customHeight="1" x14ac:dyDescent="0.25">
      <c r="H233" s="33"/>
      <c r="I233" s="33"/>
    </row>
    <row r="234" spans="8:9" ht="14.25" customHeight="1" x14ac:dyDescent="0.25">
      <c r="H234" s="33"/>
      <c r="I234" s="33"/>
    </row>
    <row r="235" spans="8:9" ht="14.25" customHeight="1" x14ac:dyDescent="0.25">
      <c r="H235" s="33"/>
      <c r="I235" s="33"/>
    </row>
    <row r="236" spans="8:9" ht="14.25" customHeight="1" x14ac:dyDescent="0.25">
      <c r="H236" s="33"/>
      <c r="I236" s="33"/>
    </row>
    <row r="237" spans="8:9" ht="14.25" customHeight="1" x14ac:dyDescent="0.25">
      <c r="H237" s="33"/>
      <c r="I237" s="33"/>
    </row>
    <row r="238" spans="8:9" ht="14.25" customHeight="1" x14ac:dyDescent="0.25">
      <c r="H238" s="33"/>
      <c r="I238" s="33"/>
    </row>
    <row r="239" spans="8:9" ht="14.25" customHeight="1" x14ac:dyDescent="0.25">
      <c r="H239" s="33"/>
      <c r="I239" s="33"/>
    </row>
    <row r="240" spans="8:9" ht="14.25" customHeight="1" x14ac:dyDescent="0.25">
      <c r="H240" s="33"/>
      <c r="I240" s="33"/>
    </row>
    <row r="241" spans="8:9" ht="14.25" customHeight="1" x14ac:dyDescent="0.25">
      <c r="H241" s="33"/>
      <c r="I241" s="33"/>
    </row>
    <row r="242" spans="8:9" ht="14.25" customHeight="1" x14ac:dyDescent="0.25">
      <c r="H242" s="33"/>
      <c r="I242" s="33"/>
    </row>
    <row r="243" spans="8:9" ht="14.25" customHeight="1" x14ac:dyDescent="0.25">
      <c r="H243" s="33"/>
      <c r="I243" s="33"/>
    </row>
    <row r="244" spans="8:9" ht="14.25" customHeight="1" x14ac:dyDescent="0.25">
      <c r="H244" s="33"/>
      <c r="I244" s="33"/>
    </row>
    <row r="245" spans="8:9" ht="14.25" customHeight="1" x14ac:dyDescent="0.25">
      <c r="H245" s="33"/>
      <c r="I245" s="33"/>
    </row>
    <row r="246" spans="8:9" ht="14.25" customHeight="1" x14ac:dyDescent="0.25">
      <c r="H246" s="33"/>
      <c r="I246" s="33"/>
    </row>
    <row r="247" spans="8:9" ht="14.25" customHeight="1" x14ac:dyDescent="0.25">
      <c r="H247" s="33"/>
      <c r="I247" s="33"/>
    </row>
    <row r="248" spans="8:9" ht="14.25" customHeight="1" x14ac:dyDescent="0.25">
      <c r="H248" s="33"/>
      <c r="I248" s="33"/>
    </row>
    <row r="249" spans="8:9" ht="14.25" customHeight="1" x14ac:dyDescent="0.25">
      <c r="H249" s="33"/>
      <c r="I249" s="33"/>
    </row>
    <row r="250" spans="8:9" ht="14.25" customHeight="1" x14ac:dyDescent="0.25">
      <c r="H250" s="33"/>
      <c r="I250" s="33"/>
    </row>
    <row r="251" spans="8:9" ht="14.25" customHeight="1" x14ac:dyDescent="0.25">
      <c r="H251" s="33"/>
      <c r="I251" s="33"/>
    </row>
    <row r="252" spans="8:9" ht="14.25" customHeight="1" x14ac:dyDescent="0.25">
      <c r="H252" s="33"/>
      <c r="I252" s="33"/>
    </row>
    <row r="253" spans="8:9" ht="14.25" customHeight="1" x14ac:dyDescent="0.25">
      <c r="H253" s="33"/>
      <c r="I253" s="33"/>
    </row>
    <row r="254" spans="8:9" ht="14.25" customHeight="1" x14ac:dyDescent="0.25">
      <c r="H254" s="33"/>
      <c r="I254" s="33"/>
    </row>
    <row r="255" spans="8:9" ht="14.25" customHeight="1" x14ac:dyDescent="0.25">
      <c r="H255" s="33"/>
      <c r="I255" s="33"/>
    </row>
    <row r="256" spans="8:9" ht="14.25" customHeight="1" x14ac:dyDescent="0.25">
      <c r="H256" s="33"/>
      <c r="I256" s="33"/>
    </row>
    <row r="257" spans="8:9" ht="14.25" customHeight="1" x14ac:dyDescent="0.25">
      <c r="H257" s="33"/>
      <c r="I257" s="33"/>
    </row>
    <row r="258" spans="8:9" ht="14.25" customHeight="1" x14ac:dyDescent="0.25">
      <c r="H258" s="33"/>
      <c r="I258" s="33"/>
    </row>
    <row r="259" spans="8:9" ht="14.25" customHeight="1" x14ac:dyDescent="0.25">
      <c r="H259" s="33"/>
      <c r="I259" s="33"/>
    </row>
    <row r="260" spans="8:9" ht="14.25" customHeight="1" x14ac:dyDescent="0.25">
      <c r="H260" s="33"/>
      <c r="I260" s="33"/>
    </row>
    <row r="261" spans="8:9" ht="14.25" customHeight="1" x14ac:dyDescent="0.25">
      <c r="H261" s="33"/>
      <c r="I261" s="33"/>
    </row>
    <row r="262" spans="8:9" ht="14.25" customHeight="1" x14ac:dyDescent="0.25">
      <c r="H262" s="33"/>
      <c r="I262" s="33"/>
    </row>
    <row r="263" spans="8:9" ht="14.25" customHeight="1" x14ac:dyDescent="0.25">
      <c r="H263" s="33"/>
      <c r="I263" s="33"/>
    </row>
    <row r="264" spans="8:9" ht="14.25" customHeight="1" x14ac:dyDescent="0.25">
      <c r="H264" s="33"/>
      <c r="I264" s="33"/>
    </row>
    <row r="265" spans="8:9" ht="14.25" customHeight="1" x14ac:dyDescent="0.25">
      <c r="H265" s="33"/>
      <c r="I265" s="33"/>
    </row>
    <row r="266" spans="8:9" ht="14.25" customHeight="1" x14ac:dyDescent="0.25">
      <c r="H266" s="33"/>
      <c r="I266" s="33"/>
    </row>
    <row r="267" spans="8:9" ht="14.25" customHeight="1" x14ac:dyDescent="0.25">
      <c r="H267" s="33"/>
      <c r="I267" s="33"/>
    </row>
    <row r="268" spans="8:9" ht="14.25" customHeight="1" x14ac:dyDescent="0.25">
      <c r="H268" s="33"/>
      <c r="I268" s="33"/>
    </row>
    <row r="269" spans="8:9" ht="14.25" customHeight="1" x14ac:dyDescent="0.25">
      <c r="H269" s="33"/>
      <c r="I269" s="33"/>
    </row>
    <row r="270" spans="8:9" ht="14.25" customHeight="1" x14ac:dyDescent="0.25">
      <c r="H270" s="33"/>
      <c r="I270" s="33"/>
    </row>
    <row r="271" spans="8:9" ht="14.25" customHeight="1" x14ac:dyDescent="0.25">
      <c r="H271" s="33"/>
      <c r="I271" s="33"/>
    </row>
    <row r="272" spans="8:9" ht="14.25" customHeight="1" x14ac:dyDescent="0.25">
      <c r="H272" s="33"/>
      <c r="I272" s="33"/>
    </row>
    <row r="273" spans="8:9" ht="14.25" customHeight="1" x14ac:dyDescent="0.25">
      <c r="H273" s="33"/>
      <c r="I273" s="33"/>
    </row>
    <row r="274" spans="8:9" ht="14.25" customHeight="1" x14ac:dyDescent="0.25">
      <c r="H274" s="33"/>
      <c r="I274" s="33"/>
    </row>
    <row r="275" spans="8:9" ht="14.25" customHeight="1" x14ac:dyDescent="0.25">
      <c r="H275" s="33"/>
      <c r="I275" s="33"/>
    </row>
    <row r="276" spans="8:9" ht="14.25" customHeight="1" x14ac:dyDescent="0.25">
      <c r="H276" s="33"/>
      <c r="I276" s="33"/>
    </row>
    <row r="277" spans="8:9" ht="14.25" customHeight="1" x14ac:dyDescent="0.25">
      <c r="H277" s="33"/>
      <c r="I277" s="33"/>
    </row>
    <row r="278" spans="8:9" ht="14.25" customHeight="1" x14ac:dyDescent="0.25">
      <c r="H278" s="33"/>
      <c r="I278" s="33"/>
    </row>
    <row r="279" spans="8:9" ht="14.25" customHeight="1" x14ac:dyDescent="0.25">
      <c r="H279" s="33"/>
      <c r="I279" s="33"/>
    </row>
    <row r="280" spans="8:9" ht="14.25" customHeight="1" x14ac:dyDescent="0.25">
      <c r="H280" s="33"/>
      <c r="I280" s="33"/>
    </row>
    <row r="281" spans="8:9" ht="14.25" customHeight="1" x14ac:dyDescent="0.25">
      <c r="H281" s="33"/>
      <c r="I281" s="33"/>
    </row>
    <row r="282" spans="8:9" ht="14.25" customHeight="1" x14ac:dyDescent="0.25">
      <c r="H282" s="33"/>
      <c r="I282" s="33"/>
    </row>
    <row r="283" spans="8:9" ht="14.25" customHeight="1" x14ac:dyDescent="0.25">
      <c r="H283" s="33"/>
      <c r="I283" s="33"/>
    </row>
    <row r="284" spans="8:9" ht="14.25" customHeight="1" x14ac:dyDescent="0.25">
      <c r="H284" s="33"/>
      <c r="I284" s="33"/>
    </row>
    <row r="285" spans="8:9" ht="14.25" customHeight="1" x14ac:dyDescent="0.25">
      <c r="H285" s="33"/>
      <c r="I285" s="33"/>
    </row>
    <row r="286" spans="8:9" ht="14.25" customHeight="1" x14ac:dyDescent="0.25">
      <c r="H286" s="33"/>
      <c r="I286" s="33"/>
    </row>
    <row r="287" spans="8:9" ht="14.25" customHeight="1" x14ac:dyDescent="0.25">
      <c r="H287" s="33"/>
      <c r="I287" s="33"/>
    </row>
    <row r="288" spans="8:9" ht="14.25" customHeight="1" x14ac:dyDescent="0.25">
      <c r="H288" s="33"/>
      <c r="I288" s="33"/>
    </row>
    <row r="289" spans="8:9" ht="14.25" customHeight="1" x14ac:dyDescent="0.25">
      <c r="H289" s="33"/>
      <c r="I289" s="33"/>
    </row>
    <row r="290" spans="8:9" ht="14.25" customHeight="1" x14ac:dyDescent="0.25">
      <c r="H290" s="33"/>
      <c r="I290" s="33"/>
    </row>
    <row r="291" spans="8:9" ht="14.25" customHeight="1" x14ac:dyDescent="0.25">
      <c r="H291" s="33"/>
      <c r="I291" s="33"/>
    </row>
    <row r="292" spans="8:9" ht="14.25" customHeight="1" x14ac:dyDescent="0.25">
      <c r="H292" s="33"/>
      <c r="I292" s="33"/>
    </row>
    <row r="293" spans="8:9" ht="14.25" customHeight="1" x14ac:dyDescent="0.25">
      <c r="H293" s="33"/>
      <c r="I293" s="33"/>
    </row>
    <row r="294" spans="8:9" ht="14.25" customHeight="1" x14ac:dyDescent="0.25">
      <c r="H294" s="33"/>
      <c r="I294" s="33"/>
    </row>
    <row r="295" spans="8:9" ht="14.25" customHeight="1" x14ac:dyDescent="0.25">
      <c r="H295" s="33"/>
      <c r="I295" s="33"/>
    </row>
    <row r="296" spans="8:9" ht="14.25" customHeight="1" x14ac:dyDescent="0.25">
      <c r="H296" s="33"/>
      <c r="I296" s="33"/>
    </row>
    <row r="297" spans="8:9" ht="14.25" customHeight="1" x14ac:dyDescent="0.25">
      <c r="H297" s="33"/>
      <c r="I297" s="33"/>
    </row>
    <row r="298" spans="8:9" ht="14.25" customHeight="1" x14ac:dyDescent="0.25">
      <c r="H298" s="33"/>
      <c r="I298" s="33"/>
    </row>
    <row r="299" spans="8:9" ht="14.25" customHeight="1" x14ac:dyDescent="0.25">
      <c r="H299" s="33"/>
      <c r="I299" s="33"/>
    </row>
    <row r="300" spans="8:9" ht="14.25" customHeight="1" x14ac:dyDescent="0.25">
      <c r="H300" s="33"/>
      <c r="I300" s="33"/>
    </row>
    <row r="301" spans="8:9" ht="14.25" customHeight="1" x14ac:dyDescent="0.25">
      <c r="H301" s="33"/>
      <c r="I301" s="33"/>
    </row>
    <row r="302" spans="8:9" ht="14.25" customHeight="1" x14ac:dyDescent="0.25">
      <c r="H302" s="33"/>
      <c r="I302" s="33"/>
    </row>
    <row r="303" spans="8:9" ht="14.25" customHeight="1" x14ac:dyDescent="0.25">
      <c r="H303" s="33"/>
      <c r="I303" s="33"/>
    </row>
    <row r="304" spans="8:9" ht="14.25" customHeight="1" x14ac:dyDescent="0.25">
      <c r="H304" s="33"/>
      <c r="I304" s="33"/>
    </row>
    <row r="305" spans="8:9" ht="14.25" customHeight="1" x14ac:dyDescent="0.25">
      <c r="H305" s="33"/>
      <c r="I305" s="33"/>
    </row>
    <row r="306" spans="8:9" ht="14.25" customHeight="1" x14ac:dyDescent="0.25">
      <c r="H306" s="33"/>
      <c r="I306" s="33"/>
    </row>
    <row r="307" spans="8:9" ht="14.25" customHeight="1" x14ac:dyDescent="0.25">
      <c r="H307" s="33"/>
      <c r="I307" s="33"/>
    </row>
    <row r="308" spans="8:9" ht="14.25" customHeight="1" x14ac:dyDescent="0.25">
      <c r="H308" s="33"/>
      <c r="I308" s="33"/>
    </row>
    <row r="309" spans="8:9" ht="14.25" customHeight="1" x14ac:dyDescent="0.25">
      <c r="H309" s="33"/>
      <c r="I309" s="33"/>
    </row>
    <row r="310" spans="8:9" ht="14.25" customHeight="1" x14ac:dyDescent="0.25">
      <c r="H310" s="33"/>
      <c r="I310" s="33"/>
    </row>
    <row r="311" spans="8:9" ht="14.25" customHeight="1" x14ac:dyDescent="0.25">
      <c r="H311" s="33"/>
      <c r="I311" s="33"/>
    </row>
    <row r="312" spans="8:9" ht="14.25" customHeight="1" x14ac:dyDescent="0.25">
      <c r="H312" s="33"/>
      <c r="I312" s="33"/>
    </row>
    <row r="313" spans="8:9" ht="14.25" customHeight="1" x14ac:dyDescent="0.25">
      <c r="H313" s="33"/>
      <c r="I313" s="33"/>
    </row>
    <row r="314" spans="8:9" ht="14.25" customHeight="1" x14ac:dyDescent="0.25">
      <c r="H314" s="33"/>
      <c r="I314" s="33"/>
    </row>
    <row r="315" spans="8:9" ht="14.25" customHeight="1" x14ac:dyDescent="0.25">
      <c r="H315" s="33"/>
      <c r="I315" s="33"/>
    </row>
    <row r="316" spans="8:9" ht="14.25" customHeight="1" x14ac:dyDescent="0.25">
      <c r="H316" s="33"/>
      <c r="I316" s="33"/>
    </row>
    <row r="317" spans="8:9" ht="14.25" customHeight="1" x14ac:dyDescent="0.25">
      <c r="H317" s="33"/>
      <c r="I317" s="33"/>
    </row>
    <row r="318" spans="8:9" ht="14.25" customHeight="1" x14ac:dyDescent="0.25">
      <c r="H318" s="33"/>
      <c r="I318" s="33"/>
    </row>
    <row r="319" spans="8:9" ht="14.25" customHeight="1" x14ac:dyDescent="0.25">
      <c r="H319" s="33"/>
      <c r="I319" s="33"/>
    </row>
    <row r="320" spans="8:9" ht="14.25" customHeight="1" x14ac:dyDescent="0.25">
      <c r="H320" s="33"/>
      <c r="I320" s="33"/>
    </row>
    <row r="321" spans="8:9" ht="14.25" customHeight="1" x14ac:dyDescent="0.25">
      <c r="H321" s="33"/>
      <c r="I321" s="33"/>
    </row>
    <row r="322" spans="8:9" ht="14.25" customHeight="1" x14ac:dyDescent="0.25">
      <c r="H322" s="33"/>
      <c r="I322" s="33"/>
    </row>
    <row r="323" spans="8:9" ht="14.25" customHeight="1" x14ac:dyDescent="0.25">
      <c r="H323" s="33"/>
      <c r="I323" s="33"/>
    </row>
    <row r="324" spans="8:9" ht="14.25" customHeight="1" x14ac:dyDescent="0.25">
      <c r="H324" s="33"/>
      <c r="I324" s="33"/>
    </row>
    <row r="325" spans="8:9" ht="14.25" customHeight="1" x14ac:dyDescent="0.25">
      <c r="H325" s="33"/>
      <c r="I325" s="33"/>
    </row>
    <row r="326" spans="8:9" ht="14.25" customHeight="1" x14ac:dyDescent="0.25">
      <c r="H326" s="33"/>
      <c r="I326" s="33"/>
    </row>
    <row r="327" spans="8:9" ht="14.25" customHeight="1" x14ac:dyDescent="0.25">
      <c r="H327" s="33"/>
      <c r="I327" s="33"/>
    </row>
    <row r="328" spans="8:9" ht="14.25" customHeight="1" x14ac:dyDescent="0.25">
      <c r="H328" s="33"/>
      <c r="I328" s="33"/>
    </row>
    <row r="329" spans="8:9" ht="14.25" customHeight="1" x14ac:dyDescent="0.25">
      <c r="H329" s="33"/>
      <c r="I329" s="33"/>
    </row>
    <row r="330" spans="8:9" ht="14.25" customHeight="1" x14ac:dyDescent="0.25">
      <c r="H330" s="33"/>
      <c r="I330" s="33"/>
    </row>
    <row r="331" spans="8:9" ht="14.25" customHeight="1" x14ac:dyDescent="0.25">
      <c r="H331" s="33"/>
      <c r="I331" s="33"/>
    </row>
    <row r="332" spans="8:9" ht="14.25" customHeight="1" x14ac:dyDescent="0.25">
      <c r="H332" s="33"/>
      <c r="I332" s="33"/>
    </row>
    <row r="333" spans="8:9" ht="14.25" customHeight="1" x14ac:dyDescent="0.25">
      <c r="H333" s="33"/>
      <c r="I333" s="33"/>
    </row>
    <row r="334" spans="8:9" ht="14.25" customHeight="1" x14ac:dyDescent="0.25">
      <c r="H334" s="33"/>
      <c r="I334" s="33"/>
    </row>
    <row r="335" spans="8:9" ht="14.25" customHeight="1" x14ac:dyDescent="0.25">
      <c r="H335" s="33"/>
      <c r="I335" s="33"/>
    </row>
    <row r="336" spans="8:9" ht="14.25" customHeight="1" x14ac:dyDescent="0.25">
      <c r="H336" s="33"/>
      <c r="I336" s="33"/>
    </row>
    <row r="337" spans="8:9" ht="14.25" customHeight="1" x14ac:dyDescent="0.25">
      <c r="H337" s="33"/>
      <c r="I337" s="33"/>
    </row>
    <row r="338" spans="8:9" ht="14.25" customHeight="1" x14ac:dyDescent="0.25">
      <c r="H338" s="33"/>
      <c r="I338" s="33"/>
    </row>
    <row r="339" spans="8:9" ht="14.25" customHeight="1" x14ac:dyDescent="0.25">
      <c r="H339" s="33"/>
      <c r="I339" s="33"/>
    </row>
    <row r="340" spans="8:9" ht="14.25" customHeight="1" x14ac:dyDescent="0.25">
      <c r="H340" s="33"/>
      <c r="I340" s="33"/>
    </row>
    <row r="341" spans="8:9" ht="14.25" customHeight="1" x14ac:dyDescent="0.25">
      <c r="H341" s="33"/>
      <c r="I341" s="33"/>
    </row>
    <row r="342" spans="8:9" ht="14.25" customHeight="1" x14ac:dyDescent="0.25">
      <c r="H342" s="33"/>
      <c r="I342" s="33"/>
    </row>
    <row r="343" spans="8:9" ht="14.25" customHeight="1" x14ac:dyDescent="0.25">
      <c r="H343" s="33"/>
      <c r="I343" s="33"/>
    </row>
    <row r="344" spans="8:9" ht="14.25" customHeight="1" x14ac:dyDescent="0.25">
      <c r="H344" s="33"/>
      <c r="I344" s="33"/>
    </row>
    <row r="345" spans="8:9" ht="14.25" customHeight="1" x14ac:dyDescent="0.25">
      <c r="H345" s="33"/>
      <c r="I345" s="33"/>
    </row>
    <row r="346" spans="8:9" ht="14.25" customHeight="1" x14ac:dyDescent="0.25">
      <c r="H346" s="33"/>
      <c r="I346" s="33"/>
    </row>
    <row r="347" spans="8:9" ht="14.25" customHeight="1" x14ac:dyDescent="0.25">
      <c r="H347" s="33"/>
      <c r="I347" s="33"/>
    </row>
    <row r="348" spans="8:9" ht="14.25" customHeight="1" x14ac:dyDescent="0.25">
      <c r="H348" s="33"/>
      <c r="I348" s="33"/>
    </row>
    <row r="349" spans="8:9" ht="14.25" customHeight="1" x14ac:dyDescent="0.25">
      <c r="H349" s="33"/>
      <c r="I349" s="33"/>
    </row>
    <row r="350" spans="8:9" ht="14.25" customHeight="1" x14ac:dyDescent="0.25">
      <c r="H350" s="33"/>
      <c r="I350" s="33"/>
    </row>
    <row r="351" spans="8:9" ht="14.25" customHeight="1" x14ac:dyDescent="0.25">
      <c r="H351" s="33"/>
      <c r="I351" s="33"/>
    </row>
    <row r="352" spans="8:9" ht="14.25" customHeight="1" x14ac:dyDescent="0.25">
      <c r="H352" s="33"/>
      <c r="I352" s="33"/>
    </row>
    <row r="353" spans="8:9" ht="14.25" customHeight="1" x14ac:dyDescent="0.25">
      <c r="H353" s="33"/>
      <c r="I353" s="33"/>
    </row>
    <row r="354" spans="8:9" ht="14.25" customHeight="1" x14ac:dyDescent="0.25">
      <c r="H354" s="33"/>
      <c r="I354" s="33"/>
    </row>
    <row r="355" spans="8:9" ht="14.25" customHeight="1" x14ac:dyDescent="0.25">
      <c r="H355" s="33"/>
      <c r="I355" s="33"/>
    </row>
    <row r="356" spans="8:9" ht="14.25" customHeight="1" x14ac:dyDescent="0.25">
      <c r="H356" s="33"/>
      <c r="I356" s="33"/>
    </row>
    <row r="357" spans="8:9" ht="14.25" customHeight="1" x14ac:dyDescent="0.25">
      <c r="H357" s="33"/>
      <c r="I357" s="33"/>
    </row>
    <row r="358" spans="8:9" ht="14.25" customHeight="1" x14ac:dyDescent="0.25">
      <c r="H358" s="33"/>
      <c r="I358" s="33"/>
    </row>
    <row r="359" spans="8:9" ht="14.25" customHeight="1" x14ac:dyDescent="0.25">
      <c r="H359" s="33"/>
      <c r="I359" s="33"/>
    </row>
    <row r="360" spans="8:9" ht="14.25" customHeight="1" x14ac:dyDescent="0.25">
      <c r="H360" s="33"/>
      <c r="I360" s="33"/>
    </row>
    <row r="361" spans="8:9" ht="14.25" customHeight="1" x14ac:dyDescent="0.25">
      <c r="H361" s="33"/>
      <c r="I361" s="33"/>
    </row>
    <row r="362" spans="8:9" ht="14.25" customHeight="1" x14ac:dyDescent="0.25">
      <c r="H362" s="33"/>
      <c r="I362" s="33"/>
    </row>
    <row r="363" spans="8:9" ht="14.25" customHeight="1" x14ac:dyDescent="0.25">
      <c r="H363" s="33"/>
      <c r="I363" s="33"/>
    </row>
    <row r="364" spans="8:9" ht="14.25" customHeight="1" x14ac:dyDescent="0.25">
      <c r="H364" s="33"/>
      <c r="I364" s="33"/>
    </row>
    <row r="365" spans="8:9" ht="14.25" customHeight="1" x14ac:dyDescent="0.25">
      <c r="H365" s="33"/>
      <c r="I365" s="33"/>
    </row>
    <row r="366" spans="8:9" ht="14.25" customHeight="1" x14ac:dyDescent="0.25">
      <c r="H366" s="33"/>
      <c r="I366" s="33"/>
    </row>
    <row r="367" spans="8:9" ht="14.25" customHeight="1" x14ac:dyDescent="0.25">
      <c r="H367" s="33"/>
      <c r="I367" s="33"/>
    </row>
    <row r="368" spans="8:9" ht="14.25" customHeight="1" x14ac:dyDescent="0.25">
      <c r="H368" s="33"/>
      <c r="I368" s="33"/>
    </row>
    <row r="369" spans="8:9" ht="14.25" customHeight="1" x14ac:dyDescent="0.25">
      <c r="H369" s="33"/>
      <c r="I369" s="33"/>
    </row>
    <row r="370" spans="8:9" ht="14.25" customHeight="1" x14ac:dyDescent="0.25">
      <c r="H370" s="33"/>
      <c r="I370" s="33"/>
    </row>
    <row r="371" spans="8:9" ht="14.25" customHeight="1" x14ac:dyDescent="0.25">
      <c r="H371" s="33"/>
      <c r="I371" s="33"/>
    </row>
    <row r="372" spans="8:9" ht="14.25" customHeight="1" x14ac:dyDescent="0.25">
      <c r="H372" s="33"/>
      <c r="I372" s="33"/>
    </row>
    <row r="373" spans="8:9" ht="14.25" customHeight="1" x14ac:dyDescent="0.25">
      <c r="H373" s="33"/>
      <c r="I373" s="33"/>
    </row>
    <row r="374" spans="8:9" ht="14.25" customHeight="1" x14ac:dyDescent="0.25">
      <c r="H374" s="33"/>
      <c r="I374" s="33"/>
    </row>
    <row r="375" spans="8:9" ht="14.25" customHeight="1" x14ac:dyDescent="0.25">
      <c r="H375" s="33"/>
      <c r="I375" s="33"/>
    </row>
    <row r="376" spans="8:9" ht="14.25" customHeight="1" x14ac:dyDescent="0.25">
      <c r="H376" s="33"/>
      <c r="I376" s="33"/>
    </row>
    <row r="377" spans="8:9" ht="14.25" customHeight="1" x14ac:dyDescent="0.25">
      <c r="H377" s="33"/>
      <c r="I377" s="33"/>
    </row>
    <row r="378" spans="8:9" ht="14.25" customHeight="1" x14ac:dyDescent="0.25">
      <c r="H378" s="33"/>
      <c r="I378" s="33"/>
    </row>
    <row r="379" spans="8:9" ht="14.25" customHeight="1" x14ac:dyDescent="0.25">
      <c r="H379" s="33"/>
      <c r="I379" s="33"/>
    </row>
    <row r="380" spans="8:9" ht="14.25" customHeight="1" x14ac:dyDescent="0.25">
      <c r="H380" s="33"/>
      <c r="I380" s="33"/>
    </row>
    <row r="381" spans="8:9" ht="14.25" customHeight="1" x14ac:dyDescent="0.25">
      <c r="H381" s="33"/>
      <c r="I381" s="33"/>
    </row>
    <row r="382" spans="8:9" ht="14.25" customHeight="1" x14ac:dyDescent="0.25">
      <c r="H382" s="33"/>
      <c r="I382" s="33"/>
    </row>
    <row r="383" spans="8:9" ht="14.25" customHeight="1" x14ac:dyDescent="0.25">
      <c r="H383" s="33"/>
      <c r="I383" s="33"/>
    </row>
    <row r="384" spans="8:9" ht="14.25" customHeight="1" x14ac:dyDescent="0.25">
      <c r="H384" s="33"/>
      <c r="I384" s="33"/>
    </row>
    <row r="385" spans="8:9" ht="14.25" customHeight="1" x14ac:dyDescent="0.25">
      <c r="H385" s="33"/>
      <c r="I385" s="33"/>
    </row>
    <row r="386" spans="8:9" ht="14.25" customHeight="1" x14ac:dyDescent="0.25">
      <c r="H386" s="33"/>
      <c r="I386" s="33"/>
    </row>
    <row r="387" spans="8:9" ht="14.25" customHeight="1" x14ac:dyDescent="0.25">
      <c r="H387" s="33"/>
      <c r="I387" s="33"/>
    </row>
    <row r="388" spans="8:9" ht="14.25" customHeight="1" x14ac:dyDescent="0.25">
      <c r="H388" s="33"/>
      <c r="I388" s="33"/>
    </row>
    <row r="389" spans="8:9" ht="14.25" customHeight="1" x14ac:dyDescent="0.25">
      <c r="H389" s="33"/>
      <c r="I389" s="33"/>
    </row>
    <row r="390" spans="8:9" ht="14.25" customHeight="1" x14ac:dyDescent="0.25">
      <c r="H390" s="33"/>
      <c r="I390" s="33"/>
    </row>
    <row r="391" spans="8:9" ht="14.25" customHeight="1" x14ac:dyDescent="0.25">
      <c r="H391" s="33"/>
      <c r="I391" s="33"/>
    </row>
    <row r="392" spans="8:9" ht="14.25" customHeight="1" x14ac:dyDescent="0.25">
      <c r="H392" s="33"/>
      <c r="I392" s="33"/>
    </row>
    <row r="393" spans="8:9" ht="14.25" customHeight="1" x14ac:dyDescent="0.25">
      <c r="H393" s="33"/>
      <c r="I393" s="33"/>
    </row>
    <row r="394" spans="8:9" ht="14.25" customHeight="1" x14ac:dyDescent="0.25">
      <c r="H394" s="33"/>
      <c r="I394" s="33"/>
    </row>
    <row r="395" spans="8:9" ht="14.25" customHeight="1" x14ac:dyDescent="0.25">
      <c r="H395" s="33"/>
      <c r="I395" s="33"/>
    </row>
    <row r="396" spans="8:9" ht="14.25" customHeight="1" x14ac:dyDescent="0.25">
      <c r="H396" s="33"/>
      <c r="I396" s="33"/>
    </row>
    <row r="397" spans="8:9" ht="14.25" customHeight="1" x14ac:dyDescent="0.25">
      <c r="H397" s="33"/>
      <c r="I397" s="33"/>
    </row>
    <row r="398" spans="8:9" ht="14.25" customHeight="1" x14ac:dyDescent="0.25">
      <c r="H398" s="33"/>
      <c r="I398" s="33"/>
    </row>
    <row r="399" spans="8:9" ht="14.25" customHeight="1" x14ac:dyDescent="0.25">
      <c r="H399" s="33"/>
      <c r="I399" s="33"/>
    </row>
    <row r="400" spans="8:9" ht="14.25" customHeight="1" x14ac:dyDescent="0.25">
      <c r="H400" s="33"/>
      <c r="I400" s="33"/>
    </row>
    <row r="401" spans="8:9" ht="14.25" customHeight="1" x14ac:dyDescent="0.25">
      <c r="H401" s="33"/>
      <c r="I401" s="33"/>
    </row>
    <row r="402" spans="8:9" ht="14.25" customHeight="1" x14ac:dyDescent="0.25">
      <c r="H402" s="33"/>
      <c r="I402" s="33"/>
    </row>
    <row r="403" spans="8:9" ht="14.25" customHeight="1" x14ac:dyDescent="0.25">
      <c r="H403" s="33"/>
      <c r="I403" s="33"/>
    </row>
    <row r="404" spans="8:9" ht="14.25" customHeight="1" x14ac:dyDescent="0.25">
      <c r="H404" s="33"/>
      <c r="I404" s="33"/>
    </row>
    <row r="405" spans="8:9" ht="14.25" customHeight="1" x14ac:dyDescent="0.25">
      <c r="H405" s="33"/>
      <c r="I405" s="33"/>
    </row>
    <row r="406" spans="8:9" ht="14.25" customHeight="1" x14ac:dyDescent="0.25">
      <c r="H406" s="33"/>
      <c r="I406" s="33"/>
    </row>
    <row r="407" spans="8:9" ht="14.25" customHeight="1" x14ac:dyDescent="0.25">
      <c r="H407" s="33"/>
      <c r="I407" s="33"/>
    </row>
    <row r="408" spans="8:9" ht="14.25" customHeight="1" x14ac:dyDescent="0.25">
      <c r="H408" s="33"/>
      <c r="I408" s="33"/>
    </row>
    <row r="409" spans="8:9" ht="14.25" customHeight="1" x14ac:dyDescent="0.25">
      <c r="H409" s="33"/>
      <c r="I409" s="33"/>
    </row>
    <row r="410" spans="8:9" ht="14.25" customHeight="1" x14ac:dyDescent="0.25">
      <c r="H410" s="33"/>
      <c r="I410" s="33"/>
    </row>
    <row r="411" spans="8:9" ht="14.25" customHeight="1" x14ac:dyDescent="0.25">
      <c r="H411" s="33"/>
      <c r="I411" s="33"/>
    </row>
    <row r="412" spans="8:9" ht="14.25" customHeight="1" x14ac:dyDescent="0.25">
      <c r="H412" s="33"/>
      <c r="I412" s="33"/>
    </row>
    <row r="413" spans="8:9" ht="14.25" customHeight="1" x14ac:dyDescent="0.25">
      <c r="H413" s="33"/>
      <c r="I413" s="33"/>
    </row>
    <row r="414" spans="8:9" ht="14.25" customHeight="1" x14ac:dyDescent="0.25">
      <c r="H414" s="33"/>
      <c r="I414" s="33"/>
    </row>
    <row r="415" spans="8:9" ht="14.25" customHeight="1" x14ac:dyDescent="0.25">
      <c r="H415" s="33"/>
      <c r="I415" s="33"/>
    </row>
    <row r="416" spans="8:9" ht="14.25" customHeight="1" x14ac:dyDescent="0.25">
      <c r="H416" s="33"/>
      <c r="I416" s="33"/>
    </row>
    <row r="417" spans="8:9" ht="14.25" customHeight="1" x14ac:dyDescent="0.25">
      <c r="H417" s="33"/>
      <c r="I417" s="33"/>
    </row>
    <row r="418" spans="8:9" ht="14.25" customHeight="1" x14ac:dyDescent="0.25">
      <c r="H418" s="33"/>
      <c r="I418" s="33"/>
    </row>
    <row r="419" spans="8:9" ht="14.25" customHeight="1" x14ac:dyDescent="0.25">
      <c r="H419" s="33"/>
      <c r="I419" s="33"/>
    </row>
    <row r="420" spans="8:9" ht="14.25" customHeight="1" x14ac:dyDescent="0.25">
      <c r="H420" s="33"/>
      <c r="I420" s="33"/>
    </row>
    <row r="421" spans="8:9" ht="14.25" customHeight="1" x14ac:dyDescent="0.25">
      <c r="H421" s="33"/>
      <c r="I421" s="33"/>
    </row>
    <row r="422" spans="8:9" ht="14.25" customHeight="1" x14ac:dyDescent="0.25">
      <c r="H422" s="33"/>
      <c r="I422" s="33"/>
    </row>
    <row r="423" spans="8:9" ht="14.25" customHeight="1" x14ac:dyDescent="0.25">
      <c r="H423" s="33"/>
      <c r="I423" s="33"/>
    </row>
    <row r="424" spans="8:9" ht="14.25" customHeight="1" x14ac:dyDescent="0.25">
      <c r="H424" s="33"/>
      <c r="I424" s="33"/>
    </row>
    <row r="425" spans="8:9" ht="14.25" customHeight="1" x14ac:dyDescent="0.25">
      <c r="H425" s="33"/>
      <c r="I425" s="33"/>
    </row>
    <row r="426" spans="8:9" ht="14.25" customHeight="1" x14ac:dyDescent="0.25">
      <c r="H426" s="33"/>
      <c r="I426" s="33"/>
    </row>
    <row r="427" spans="8:9" ht="14.25" customHeight="1" x14ac:dyDescent="0.25">
      <c r="H427" s="33"/>
      <c r="I427" s="33"/>
    </row>
    <row r="428" spans="8:9" ht="14.25" customHeight="1" x14ac:dyDescent="0.25">
      <c r="H428" s="33"/>
      <c r="I428" s="33"/>
    </row>
    <row r="429" spans="8:9" ht="14.25" customHeight="1" x14ac:dyDescent="0.25">
      <c r="H429" s="33"/>
      <c r="I429" s="33"/>
    </row>
    <row r="430" spans="8:9" ht="14.25" customHeight="1" x14ac:dyDescent="0.25">
      <c r="H430" s="33"/>
      <c r="I430" s="33"/>
    </row>
    <row r="431" spans="8:9" ht="14.25" customHeight="1" x14ac:dyDescent="0.25">
      <c r="H431" s="33"/>
      <c r="I431" s="33"/>
    </row>
    <row r="432" spans="8:9" ht="14.25" customHeight="1" x14ac:dyDescent="0.25">
      <c r="H432" s="33"/>
      <c r="I432" s="33"/>
    </row>
    <row r="433" spans="8:9" ht="14.25" customHeight="1" x14ac:dyDescent="0.25">
      <c r="H433" s="33"/>
      <c r="I433" s="33"/>
    </row>
    <row r="434" spans="8:9" ht="14.25" customHeight="1" x14ac:dyDescent="0.25">
      <c r="H434" s="33"/>
      <c r="I434" s="33"/>
    </row>
    <row r="435" spans="8:9" ht="14.25" customHeight="1" x14ac:dyDescent="0.25">
      <c r="H435" s="33"/>
      <c r="I435" s="33"/>
    </row>
    <row r="436" spans="8:9" ht="14.25" customHeight="1" x14ac:dyDescent="0.25">
      <c r="H436" s="33"/>
      <c r="I436" s="33"/>
    </row>
    <row r="437" spans="8:9" ht="14.25" customHeight="1" x14ac:dyDescent="0.25">
      <c r="H437" s="33"/>
      <c r="I437" s="33"/>
    </row>
    <row r="438" spans="8:9" ht="14.25" customHeight="1" x14ac:dyDescent="0.25">
      <c r="H438" s="33"/>
      <c r="I438" s="33"/>
    </row>
    <row r="439" spans="8:9" ht="14.25" customHeight="1" x14ac:dyDescent="0.25">
      <c r="H439" s="33"/>
      <c r="I439" s="33"/>
    </row>
    <row r="440" spans="8:9" ht="14.25" customHeight="1" x14ac:dyDescent="0.25">
      <c r="H440" s="33"/>
      <c r="I440" s="33"/>
    </row>
    <row r="441" spans="8:9" ht="14.25" customHeight="1" x14ac:dyDescent="0.25">
      <c r="H441" s="33"/>
      <c r="I441" s="33"/>
    </row>
    <row r="442" spans="8:9" ht="14.25" customHeight="1" x14ac:dyDescent="0.25">
      <c r="H442" s="33"/>
      <c r="I442" s="33"/>
    </row>
    <row r="443" spans="8:9" ht="14.25" customHeight="1" x14ac:dyDescent="0.25">
      <c r="H443" s="33"/>
      <c r="I443" s="33"/>
    </row>
    <row r="444" spans="8:9" ht="14.25" customHeight="1" x14ac:dyDescent="0.25">
      <c r="H444" s="33"/>
      <c r="I444" s="33"/>
    </row>
    <row r="445" spans="8:9" ht="14.25" customHeight="1" x14ac:dyDescent="0.25">
      <c r="H445" s="33"/>
      <c r="I445" s="33"/>
    </row>
    <row r="446" spans="8:9" ht="14.25" customHeight="1" x14ac:dyDescent="0.25">
      <c r="H446" s="33"/>
      <c r="I446" s="33"/>
    </row>
    <row r="447" spans="8:9" ht="14.25" customHeight="1" x14ac:dyDescent="0.25">
      <c r="H447" s="33"/>
      <c r="I447" s="33"/>
    </row>
    <row r="448" spans="8:9" ht="14.25" customHeight="1" x14ac:dyDescent="0.25">
      <c r="H448" s="33"/>
      <c r="I448" s="33"/>
    </row>
    <row r="449" spans="8:9" ht="14.25" customHeight="1" x14ac:dyDescent="0.25">
      <c r="H449" s="33"/>
      <c r="I449" s="33"/>
    </row>
    <row r="450" spans="8:9" ht="14.25" customHeight="1" x14ac:dyDescent="0.25">
      <c r="H450" s="33"/>
      <c r="I450" s="33"/>
    </row>
    <row r="451" spans="8:9" ht="14.25" customHeight="1" x14ac:dyDescent="0.25">
      <c r="H451" s="33"/>
      <c r="I451" s="33"/>
    </row>
    <row r="452" spans="8:9" ht="14.25" customHeight="1" x14ac:dyDescent="0.25">
      <c r="H452" s="33"/>
      <c r="I452" s="33"/>
    </row>
    <row r="453" spans="8:9" ht="14.25" customHeight="1" x14ac:dyDescent="0.25">
      <c r="H453" s="33"/>
      <c r="I453" s="33"/>
    </row>
    <row r="454" spans="8:9" ht="14.25" customHeight="1" x14ac:dyDescent="0.25">
      <c r="H454" s="33"/>
      <c r="I454" s="33"/>
    </row>
    <row r="455" spans="8:9" ht="14.25" customHeight="1" x14ac:dyDescent="0.25">
      <c r="H455" s="33"/>
      <c r="I455" s="33"/>
    </row>
    <row r="456" spans="8:9" ht="14.25" customHeight="1" x14ac:dyDescent="0.25">
      <c r="H456" s="33"/>
      <c r="I456" s="33"/>
    </row>
    <row r="457" spans="8:9" ht="14.25" customHeight="1" x14ac:dyDescent="0.25">
      <c r="H457" s="33"/>
      <c r="I457" s="33"/>
    </row>
    <row r="458" spans="8:9" ht="14.25" customHeight="1" x14ac:dyDescent="0.25">
      <c r="H458" s="33"/>
      <c r="I458" s="33"/>
    </row>
    <row r="459" spans="8:9" ht="14.25" customHeight="1" x14ac:dyDescent="0.25">
      <c r="H459" s="33"/>
      <c r="I459" s="33"/>
    </row>
    <row r="460" spans="8:9" ht="14.25" customHeight="1" x14ac:dyDescent="0.25">
      <c r="H460" s="33"/>
      <c r="I460" s="33"/>
    </row>
    <row r="461" spans="8:9" ht="14.25" customHeight="1" x14ac:dyDescent="0.25">
      <c r="H461" s="33"/>
      <c r="I461" s="33"/>
    </row>
    <row r="462" spans="8:9" ht="14.25" customHeight="1" x14ac:dyDescent="0.25">
      <c r="H462" s="33"/>
      <c r="I462" s="33"/>
    </row>
    <row r="463" spans="8:9" ht="14.25" customHeight="1" x14ac:dyDescent="0.25">
      <c r="H463" s="33"/>
      <c r="I463" s="33"/>
    </row>
    <row r="464" spans="8:9" ht="14.25" customHeight="1" x14ac:dyDescent="0.25">
      <c r="H464" s="33"/>
      <c r="I464" s="33"/>
    </row>
    <row r="465" spans="8:9" ht="14.25" customHeight="1" x14ac:dyDescent="0.25">
      <c r="H465" s="33"/>
      <c r="I465" s="33"/>
    </row>
    <row r="466" spans="8:9" ht="14.25" customHeight="1" x14ac:dyDescent="0.25">
      <c r="H466" s="33"/>
      <c r="I466" s="33"/>
    </row>
    <row r="467" spans="8:9" ht="14.25" customHeight="1" x14ac:dyDescent="0.25">
      <c r="H467" s="33"/>
      <c r="I467" s="33"/>
    </row>
    <row r="468" spans="8:9" ht="14.25" customHeight="1" x14ac:dyDescent="0.25">
      <c r="H468" s="33"/>
      <c r="I468" s="33"/>
    </row>
    <row r="469" spans="8:9" ht="14.25" customHeight="1" x14ac:dyDescent="0.25">
      <c r="H469" s="33"/>
      <c r="I469" s="33"/>
    </row>
    <row r="470" spans="8:9" ht="14.25" customHeight="1" x14ac:dyDescent="0.25">
      <c r="H470" s="33"/>
      <c r="I470" s="33"/>
    </row>
    <row r="471" spans="8:9" ht="14.25" customHeight="1" x14ac:dyDescent="0.25">
      <c r="H471" s="33"/>
      <c r="I471" s="33"/>
    </row>
    <row r="472" spans="8:9" ht="14.25" customHeight="1" x14ac:dyDescent="0.25">
      <c r="H472" s="33"/>
      <c r="I472" s="33"/>
    </row>
    <row r="473" spans="8:9" ht="14.25" customHeight="1" x14ac:dyDescent="0.25">
      <c r="H473" s="33"/>
      <c r="I473" s="33"/>
    </row>
    <row r="474" spans="8:9" ht="14.25" customHeight="1" x14ac:dyDescent="0.25">
      <c r="H474" s="33"/>
      <c r="I474" s="33"/>
    </row>
    <row r="475" spans="8:9" ht="14.25" customHeight="1" x14ac:dyDescent="0.25">
      <c r="H475" s="33"/>
      <c r="I475" s="33"/>
    </row>
    <row r="476" spans="8:9" ht="14.25" customHeight="1" x14ac:dyDescent="0.25">
      <c r="H476" s="33"/>
      <c r="I476" s="33"/>
    </row>
    <row r="477" spans="8:9" ht="14.25" customHeight="1" x14ac:dyDescent="0.25">
      <c r="H477" s="33"/>
      <c r="I477" s="33"/>
    </row>
    <row r="478" spans="8:9" ht="14.25" customHeight="1" x14ac:dyDescent="0.25">
      <c r="H478" s="33"/>
      <c r="I478" s="33"/>
    </row>
    <row r="479" spans="8:9" ht="14.25" customHeight="1" x14ac:dyDescent="0.25">
      <c r="H479" s="33"/>
      <c r="I479" s="33"/>
    </row>
    <row r="480" spans="8:9" ht="14.25" customHeight="1" x14ac:dyDescent="0.25">
      <c r="H480" s="33"/>
      <c r="I480" s="33"/>
    </row>
    <row r="481" spans="8:9" ht="14.25" customHeight="1" x14ac:dyDescent="0.25">
      <c r="H481" s="33"/>
      <c r="I481" s="33"/>
    </row>
    <row r="482" spans="8:9" ht="14.25" customHeight="1" x14ac:dyDescent="0.25">
      <c r="H482" s="33"/>
      <c r="I482" s="33"/>
    </row>
    <row r="483" spans="8:9" ht="14.25" customHeight="1" x14ac:dyDescent="0.25">
      <c r="H483" s="33"/>
      <c r="I483" s="33"/>
    </row>
    <row r="484" spans="8:9" ht="14.25" customHeight="1" x14ac:dyDescent="0.25">
      <c r="H484" s="33"/>
      <c r="I484" s="33"/>
    </row>
    <row r="485" spans="8:9" ht="14.25" customHeight="1" x14ac:dyDescent="0.25">
      <c r="H485" s="33"/>
      <c r="I485" s="33"/>
    </row>
    <row r="486" spans="8:9" ht="14.25" customHeight="1" x14ac:dyDescent="0.25">
      <c r="H486" s="33"/>
      <c r="I486" s="33"/>
    </row>
    <row r="487" spans="8:9" ht="14.25" customHeight="1" x14ac:dyDescent="0.25">
      <c r="H487" s="33"/>
      <c r="I487" s="33"/>
    </row>
    <row r="488" spans="8:9" ht="14.25" customHeight="1" x14ac:dyDescent="0.25">
      <c r="H488" s="33"/>
      <c r="I488" s="33"/>
    </row>
    <row r="489" spans="8:9" ht="14.25" customHeight="1" x14ac:dyDescent="0.25">
      <c r="H489" s="33"/>
      <c r="I489" s="33"/>
    </row>
    <row r="490" spans="8:9" ht="14.25" customHeight="1" x14ac:dyDescent="0.25">
      <c r="H490" s="33"/>
      <c r="I490" s="33"/>
    </row>
    <row r="491" spans="8:9" ht="14.25" customHeight="1" x14ac:dyDescent="0.25">
      <c r="H491" s="33"/>
      <c r="I491" s="33"/>
    </row>
    <row r="492" spans="8:9" ht="14.25" customHeight="1" x14ac:dyDescent="0.25">
      <c r="H492" s="33"/>
      <c r="I492" s="33"/>
    </row>
    <row r="493" spans="8:9" ht="14.25" customHeight="1" x14ac:dyDescent="0.25">
      <c r="H493" s="33"/>
      <c r="I493" s="33"/>
    </row>
    <row r="494" spans="8:9" ht="14.25" customHeight="1" x14ac:dyDescent="0.25">
      <c r="H494" s="33"/>
      <c r="I494" s="33"/>
    </row>
    <row r="495" spans="8:9" ht="14.25" customHeight="1" x14ac:dyDescent="0.25">
      <c r="H495" s="33"/>
      <c r="I495" s="33"/>
    </row>
    <row r="496" spans="8:9" ht="14.25" customHeight="1" x14ac:dyDescent="0.25">
      <c r="H496" s="33"/>
      <c r="I496" s="33"/>
    </row>
    <row r="497" spans="8:9" ht="14.25" customHeight="1" x14ac:dyDescent="0.25">
      <c r="H497" s="33"/>
      <c r="I497" s="33"/>
    </row>
    <row r="498" spans="8:9" ht="14.25" customHeight="1" x14ac:dyDescent="0.25">
      <c r="H498" s="33"/>
      <c r="I498" s="33"/>
    </row>
    <row r="499" spans="8:9" ht="14.25" customHeight="1" x14ac:dyDescent="0.25">
      <c r="H499" s="33"/>
      <c r="I499" s="33"/>
    </row>
    <row r="500" spans="8:9" ht="14.25" customHeight="1" x14ac:dyDescent="0.25">
      <c r="H500" s="33"/>
      <c r="I500" s="33"/>
    </row>
    <row r="501" spans="8:9" ht="14.25" customHeight="1" x14ac:dyDescent="0.25">
      <c r="H501" s="33"/>
      <c r="I501" s="33"/>
    </row>
    <row r="502" spans="8:9" ht="14.25" customHeight="1" x14ac:dyDescent="0.25">
      <c r="H502" s="33"/>
      <c r="I502" s="33"/>
    </row>
    <row r="503" spans="8:9" ht="14.25" customHeight="1" x14ac:dyDescent="0.25">
      <c r="H503" s="33"/>
      <c r="I503" s="33"/>
    </row>
    <row r="504" spans="8:9" ht="14.25" customHeight="1" x14ac:dyDescent="0.25">
      <c r="H504" s="33"/>
      <c r="I504" s="33"/>
    </row>
    <row r="505" spans="8:9" ht="14.25" customHeight="1" x14ac:dyDescent="0.25">
      <c r="H505" s="33"/>
      <c r="I505" s="33"/>
    </row>
    <row r="506" spans="8:9" ht="14.25" customHeight="1" x14ac:dyDescent="0.25">
      <c r="H506" s="33"/>
      <c r="I506" s="33"/>
    </row>
    <row r="507" spans="8:9" ht="14.25" customHeight="1" x14ac:dyDescent="0.25">
      <c r="H507" s="33"/>
      <c r="I507" s="33"/>
    </row>
    <row r="508" spans="8:9" ht="14.25" customHeight="1" x14ac:dyDescent="0.25">
      <c r="H508" s="33"/>
      <c r="I508" s="33"/>
    </row>
    <row r="509" spans="8:9" ht="14.25" customHeight="1" x14ac:dyDescent="0.25">
      <c r="H509" s="33"/>
      <c r="I509" s="33"/>
    </row>
    <row r="510" spans="8:9" ht="14.25" customHeight="1" x14ac:dyDescent="0.25">
      <c r="H510" s="33"/>
      <c r="I510" s="33"/>
    </row>
    <row r="511" spans="8:9" ht="14.25" customHeight="1" x14ac:dyDescent="0.25">
      <c r="H511" s="33"/>
      <c r="I511" s="33"/>
    </row>
    <row r="512" spans="8:9" ht="14.25" customHeight="1" x14ac:dyDescent="0.25">
      <c r="H512" s="33"/>
      <c r="I512" s="33"/>
    </row>
    <row r="513" spans="8:9" ht="14.25" customHeight="1" x14ac:dyDescent="0.25">
      <c r="H513" s="33"/>
      <c r="I513" s="33"/>
    </row>
    <row r="514" spans="8:9" ht="14.25" customHeight="1" x14ac:dyDescent="0.25">
      <c r="H514" s="33"/>
      <c r="I514" s="33"/>
    </row>
    <row r="515" spans="8:9" ht="14.25" customHeight="1" x14ac:dyDescent="0.25">
      <c r="H515" s="33"/>
      <c r="I515" s="33"/>
    </row>
    <row r="516" spans="8:9" ht="14.25" customHeight="1" x14ac:dyDescent="0.25">
      <c r="H516" s="33"/>
      <c r="I516" s="33"/>
    </row>
    <row r="517" spans="8:9" ht="14.25" customHeight="1" x14ac:dyDescent="0.25">
      <c r="H517" s="33"/>
      <c r="I517" s="33"/>
    </row>
    <row r="518" spans="8:9" ht="14.25" customHeight="1" x14ac:dyDescent="0.25">
      <c r="H518" s="33"/>
      <c r="I518" s="33"/>
    </row>
    <row r="519" spans="8:9" ht="14.25" customHeight="1" x14ac:dyDescent="0.25">
      <c r="H519" s="33"/>
      <c r="I519" s="33"/>
    </row>
    <row r="520" spans="8:9" ht="14.25" customHeight="1" x14ac:dyDescent="0.25">
      <c r="H520" s="33"/>
      <c r="I520" s="33"/>
    </row>
    <row r="521" spans="8:9" ht="14.25" customHeight="1" x14ac:dyDescent="0.25">
      <c r="H521" s="33"/>
      <c r="I521" s="33"/>
    </row>
    <row r="522" spans="8:9" ht="14.25" customHeight="1" x14ac:dyDescent="0.25">
      <c r="H522" s="33"/>
      <c r="I522" s="33"/>
    </row>
    <row r="523" spans="8:9" ht="14.25" customHeight="1" x14ac:dyDescent="0.25">
      <c r="H523" s="33"/>
      <c r="I523" s="33"/>
    </row>
    <row r="524" spans="8:9" ht="14.25" customHeight="1" x14ac:dyDescent="0.25">
      <c r="H524" s="33"/>
      <c r="I524" s="33"/>
    </row>
    <row r="525" spans="8:9" ht="14.25" customHeight="1" x14ac:dyDescent="0.25">
      <c r="H525" s="33"/>
      <c r="I525" s="33"/>
    </row>
    <row r="526" spans="8:9" ht="14.25" customHeight="1" x14ac:dyDescent="0.25">
      <c r="H526" s="33"/>
      <c r="I526" s="33"/>
    </row>
    <row r="527" spans="8:9" ht="14.25" customHeight="1" x14ac:dyDescent="0.25">
      <c r="H527" s="33"/>
      <c r="I527" s="33"/>
    </row>
    <row r="528" spans="8:9" ht="14.25" customHeight="1" x14ac:dyDescent="0.25">
      <c r="H528" s="33"/>
      <c r="I528" s="33"/>
    </row>
    <row r="529" spans="8:9" ht="14.25" customHeight="1" x14ac:dyDescent="0.25">
      <c r="H529" s="33"/>
      <c r="I529" s="33"/>
    </row>
    <row r="530" spans="8:9" ht="14.25" customHeight="1" x14ac:dyDescent="0.25">
      <c r="H530" s="33"/>
      <c r="I530" s="33"/>
    </row>
    <row r="531" spans="8:9" ht="14.25" customHeight="1" x14ac:dyDescent="0.25">
      <c r="H531" s="33"/>
      <c r="I531" s="33"/>
    </row>
    <row r="532" spans="8:9" ht="14.25" customHeight="1" x14ac:dyDescent="0.25">
      <c r="H532" s="33"/>
      <c r="I532" s="33"/>
    </row>
    <row r="533" spans="8:9" ht="14.25" customHeight="1" x14ac:dyDescent="0.25">
      <c r="H533" s="33"/>
      <c r="I533" s="33"/>
    </row>
    <row r="534" spans="8:9" ht="14.25" customHeight="1" x14ac:dyDescent="0.25">
      <c r="H534" s="33"/>
      <c r="I534" s="33"/>
    </row>
    <row r="535" spans="8:9" ht="14.25" customHeight="1" x14ac:dyDescent="0.25">
      <c r="H535" s="33"/>
      <c r="I535" s="33"/>
    </row>
    <row r="536" spans="8:9" ht="14.25" customHeight="1" x14ac:dyDescent="0.25">
      <c r="H536" s="33"/>
      <c r="I536" s="33"/>
    </row>
    <row r="537" spans="8:9" ht="14.25" customHeight="1" x14ac:dyDescent="0.25">
      <c r="H537" s="33"/>
      <c r="I537" s="33"/>
    </row>
    <row r="538" spans="8:9" ht="14.25" customHeight="1" x14ac:dyDescent="0.25">
      <c r="H538" s="33"/>
      <c r="I538" s="33"/>
    </row>
    <row r="539" spans="8:9" ht="14.25" customHeight="1" x14ac:dyDescent="0.25">
      <c r="H539" s="33"/>
      <c r="I539" s="33"/>
    </row>
    <row r="540" spans="8:9" ht="14.25" customHeight="1" x14ac:dyDescent="0.25">
      <c r="H540" s="33"/>
      <c r="I540" s="33"/>
    </row>
    <row r="541" spans="8:9" ht="14.25" customHeight="1" x14ac:dyDescent="0.25">
      <c r="H541" s="33"/>
      <c r="I541" s="33"/>
    </row>
    <row r="542" spans="8:9" ht="14.25" customHeight="1" x14ac:dyDescent="0.25">
      <c r="H542" s="33"/>
      <c r="I542" s="33"/>
    </row>
    <row r="543" spans="8:9" ht="14.25" customHeight="1" x14ac:dyDescent="0.25">
      <c r="H543" s="33"/>
      <c r="I543" s="33"/>
    </row>
    <row r="544" spans="8:9" ht="14.25" customHeight="1" x14ac:dyDescent="0.25">
      <c r="H544" s="33"/>
      <c r="I544" s="33"/>
    </row>
    <row r="545" spans="8:9" ht="14.25" customHeight="1" x14ac:dyDescent="0.25">
      <c r="H545" s="33"/>
      <c r="I545" s="33"/>
    </row>
    <row r="546" spans="8:9" ht="14.25" customHeight="1" x14ac:dyDescent="0.25">
      <c r="H546" s="33"/>
      <c r="I546" s="33"/>
    </row>
    <row r="547" spans="8:9" ht="14.25" customHeight="1" x14ac:dyDescent="0.25">
      <c r="H547" s="33"/>
      <c r="I547" s="33"/>
    </row>
    <row r="548" spans="8:9" ht="14.25" customHeight="1" x14ac:dyDescent="0.25">
      <c r="H548" s="33"/>
      <c r="I548" s="33"/>
    </row>
    <row r="549" spans="8:9" ht="14.25" customHeight="1" x14ac:dyDescent="0.25">
      <c r="H549" s="33"/>
      <c r="I549" s="33"/>
    </row>
    <row r="550" spans="8:9" ht="14.25" customHeight="1" x14ac:dyDescent="0.25">
      <c r="H550" s="33"/>
      <c r="I550" s="33"/>
    </row>
    <row r="551" spans="8:9" ht="14.25" customHeight="1" x14ac:dyDescent="0.25">
      <c r="H551" s="33"/>
      <c r="I551" s="33"/>
    </row>
    <row r="552" spans="8:9" ht="14.25" customHeight="1" x14ac:dyDescent="0.25">
      <c r="H552" s="33"/>
      <c r="I552" s="33"/>
    </row>
    <row r="553" spans="8:9" ht="14.25" customHeight="1" x14ac:dyDescent="0.25">
      <c r="H553" s="33"/>
      <c r="I553" s="33"/>
    </row>
    <row r="554" spans="8:9" ht="14.25" customHeight="1" x14ac:dyDescent="0.25">
      <c r="H554" s="33"/>
      <c r="I554" s="33"/>
    </row>
    <row r="555" spans="8:9" ht="14.25" customHeight="1" x14ac:dyDescent="0.25">
      <c r="H555" s="33"/>
      <c r="I555" s="33"/>
    </row>
    <row r="556" spans="8:9" ht="14.25" customHeight="1" x14ac:dyDescent="0.25">
      <c r="H556" s="33"/>
      <c r="I556" s="33"/>
    </row>
    <row r="557" spans="8:9" ht="14.25" customHeight="1" x14ac:dyDescent="0.25">
      <c r="H557" s="33"/>
      <c r="I557" s="33"/>
    </row>
    <row r="558" spans="8:9" ht="14.25" customHeight="1" x14ac:dyDescent="0.25">
      <c r="H558" s="33"/>
      <c r="I558" s="33"/>
    </row>
    <row r="559" spans="8:9" ht="14.25" customHeight="1" x14ac:dyDescent="0.25">
      <c r="H559" s="33"/>
      <c r="I559" s="33"/>
    </row>
    <row r="560" spans="8:9" ht="14.25" customHeight="1" x14ac:dyDescent="0.25">
      <c r="H560" s="33"/>
      <c r="I560" s="33"/>
    </row>
    <row r="561" spans="8:9" ht="14.25" customHeight="1" x14ac:dyDescent="0.25">
      <c r="H561" s="33"/>
      <c r="I561" s="33"/>
    </row>
    <row r="562" spans="8:9" ht="14.25" customHeight="1" x14ac:dyDescent="0.25">
      <c r="H562" s="33"/>
      <c r="I562" s="33"/>
    </row>
    <row r="563" spans="8:9" ht="14.25" customHeight="1" x14ac:dyDescent="0.25">
      <c r="H563" s="33"/>
      <c r="I563" s="33"/>
    </row>
    <row r="564" spans="8:9" ht="14.25" customHeight="1" x14ac:dyDescent="0.25">
      <c r="H564" s="33"/>
      <c r="I564" s="33"/>
    </row>
    <row r="565" spans="8:9" ht="14.25" customHeight="1" x14ac:dyDescent="0.25">
      <c r="H565" s="33"/>
      <c r="I565" s="33"/>
    </row>
    <row r="566" spans="8:9" ht="14.25" customHeight="1" x14ac:dyDescent="0.25">
      <c r="H566" s="33"/>
      <c r="I566" s="33"/>
    </row>
    <row r="567" spans="8:9" ht="14.25" customHeight="1" x14ac:dyDescent="0.25">
      <c r="H567" s="33"/>
      <c r="I567" s="33"/>
    </row>
    <row r="568" spans="8:9" ht="14.25" customHeight="1" x14ac:dyDescent="0.25">
      <c r="H568" s="33"/>
      <c r="I568" s="33"/>
    </row>
    <row r="569" spans="8:9" ht="14.25" customHeight="1" x14ac:dyDescent="0.25">
      <c r="H569" s="33"/>
      <c r="I569" s="33"/>
    </row>
    <row r="570" spans="8:9" ht="14.25" customHeight="1" x14ac:dyDescent="0.25">
      <c r="H570" s="33"/>
      <c r="I570" s="33"/>
    </row>
    <row r="571" spans="8:9" ht="14.25" customHeight="1" x14ac:dyDescent="0.25">
      <c r="H571" s="33"/>
      <c r="I571" s="33"/>
    </row>
    <row r="572" spans="8:9" ht="14.25" customHeight="1" x14ac:dyDescent="0.25">
      <c r="H572" s="33"/>
      <c r="I572" s="33"/>
    </row>
    <row r="573" spans="8:9" ht="14.25" customHeight="1" x14ac:dyDescent="0.25">
      <c r="H573" s="33"/>
      <c r="I573" s="33"/>
    </row>
    <row r="574" spans="8:9" ht="14.25" customHeight="1" x14ac:dyDescent="0.25">
      <c r="H574" s="33"/>
      <c r="I574" s="33"/>
    </row>
    <row r="575" spans="8:9" ht="14.25" customHeight="1" x14ac:dyDescent="0.25">
      <c r="H575" s="33"/>
      <c r="I575" s="33"/>
    </row>
    <row r="576" spans="8:9" ht="14.25" customHeight="1" x14ac:dyDescent="0.25">
      <c r="H576" s="33"/>
      <c r="I576" s="33"/>
    </row>
    <row r="577" spans="8:9" ht="14.25" customHeight="1" x14ac:dyDescent="0.25">
      <c r="H577" s="33"/>
      <c r="I577" s="33"/>
    </row>
    <row r="578" spans="8:9" ht="14.25" customHeight="1" x14ac:dyDescent="0.25">
      <c r="H578" s="33"/>
      <c r="I578" s="33"/>
    </row>
    <row r="579" spans="8:9" ht="14.25" customHeight="1" x14ac:dyDescent="0.25">
      <c r="H579" s="33"/>
      <c r="I579" s="33"/>
    </row>
    <row r="580" spans="8:9" ht="14.25" customHeight="1" x14ac:dyDescent="0.25">
      <c r="H580" s="33"/>
      <c r="I580" s="33"/>
    </row>
    <row r="581" spans="8:9" ht="14.25" customHeight="1" x14ac:dyDescent="0.25">
      <c r="H581" s="33"/>
      <c r="I581" s="33"/>
    </row>
    <row r="582" spans="8:9" ht="14.25" customHeight="1" x14ac:dyDescent="0.25">
      <c r="H582" s="33"/>
      <c r="I582" s="33"/>
    </row>
    <row r="583" spans="8:9" ht="14.25" customHeight="1" x14ac:dyDescent="0.25">
      <c r="H583" s="33"/>
      <c r="I583" s="33"/>
    </row>
    <row r="584" spans="8:9" ht="14.25" customHeight="1" x14ac:dyDescent="0.25">
      <c r="H584" s="33"/>
      <c r="I584" s="33"/>
    </row>
    <row r="585" spans="8:9" ht="14.25" customHeight="1" x14ac:dyDescent="0.25">
      <c r="H585" s="33"/>
      <c r="I585" s="33"/>
    </row>
    <row r="586" spans="8:9" ht="14.25" customHeight="1" x14ac:dyDescent="0.25">
      <c r="H586" s="33"/>
      <c r="I586" s="33"/>
    </row>
    <row r="587" spans="8:9" ht="14.25" customHeight="1" x14ac:dyDescent="0.25">
      <c r="H587" s="33"/>
      <c r="I587" s="33"/>
    </row>
    <row r="588" spans="8:9" ht="14.25" customHeight="1" x14ac:dyDescent="0.25">
      <c r="H588" s="33"/>
      <c r="I588" s="33"/>
    </row>
    <row r="589" spans="8:9" ht="14.25" customHeight="1" x14ac:dyDescent="0.25">
      <c r="H589" s="33"/>
      <c r="I589" s="33"/>
    </row>
    <row r="590" spans="8:9" ht="14.25" customHeight="1" x14ac:dyDescent="0.25">
      <c r="H590" s="33"/>
      <c r="I590" s="33"/>
    </row>
    <row r="591" spans="8:9" ht="14.25" customHeight="1" x14ac:dyDescent="0.25">
      <c r="H591" s="33"/>
      <c r="I591" s="33"/>
    </row>
    <row r="592" spans="8:9" ht="14.25" customHeight="1" x14ac:dyDescent="0.25">
      <c r="H592" s="33"/>
      <c r="I592" s="33"/>
    </row>
    <row r="593" spans="8:9" ht="14.25" customHeight="1" x14ac:dyDescent="0.25">
      <c r="H593" s="33"/>
      <c r="I593" s="33"/>
    </row>
    <row r="594" spans="8:9" ht="14.25" customHeight="1" x14ac:dyDescent="0.25">
      <c r="H594" s="33"/>
      <c r="I594" s="33"/>
    </row>
    <row r="595" spans="8:9" ht="14.25" customHeight="1" x14ac:dyDescent="0.25">
      <c r="H595" s="33"/>
      <c r="I595" s="33"/>
    </row>
    <row r="596" spans="8:9" ht="14.25" customHeight="1" x14ac:dyDescent="0.25">
      <c r="H596" s="33"/>
      <c r="I596" s="33"/>
    </row>
    <row r="597" spans="8:9" ht="14.25" customHeight="1" x14ac:dyDescent="0.25">
      <c r="H597" s="33"/>
      <c r="I597" s="33"/>
    </row>
    <row r="598" spans="8:9" ht="14.25" customHeight="1" x14ac:dyDescent="0.25">
      <c r="H598" s="33"/>
      <c r="I598" s="33"/>
    </row>
    <row r="599" spans="8:9" ht="14.25" customHeight="1" x14ac:dyDescent="0.25">
      <c r="H599" s="33"/>
      <c r="I599" s="33"/>
    </row>
    <row r="600" spans="8:9" ht="14.25" customHeight="1" x14ac:dyDescent="0.25">
      <c r="H600" s="33"/>
      <c r="I600" s="33"/>
    </row>
    <row r="601" spans="8:9" ht="14.25" customHeight="1" x14ac:dyDescent="0.25">
      <c r="H601" s="33"/>
      <c r="I601" s="33"/>
    </row>
    <row r="602" spans="8:9" ht="14.25" customHeight="1" x14ac:dyDescent="0.25">
      <c r="H602" s="33"/>
      <c r="I602" s="33"/>
    </row>
    <row r="603" spans="8:9" ht="14.25" customHeight="1" x14ac:dyDescent="0.25">
      <c r="H603" s="33"/>
      <c r="I603" s="33"/>
    </row>
    <row r="604" spans="8:9" ht="14.25" customHeight="1" x14ac:dyDescent="0.25">
      <c r="H604" s="33"/>
      <c r="I604" s="33"/>
    </row>
    <row r="605" spans="8:9" ht="14.25" customHeight="1" x14ac:dyDescent="0.25">
      <c r="H605" s="33"/>
      <c r="I605" s="33"/>
    </row>
    <row r="606" spans="8:9" ht="14.25" customHeight="1" x14ac:dyDescent="0.25">
      <c r="H606" s="33"/>
      <c r="I606" s="33"/>
    </row>
    <row r="607" spans="8:9" ht="14.25" customHeight="1" x14ac:dyDescent="0.25">
      <c r="H607" s="33"/>
      <c r="I607" s="33"/>
    </row>
    <row r="608" spans="8:9" ht="14.25" customHeight="1" x14ac:dyDescent="0.25">
      <c r="H608" s="33"/>
      <c r="I608" s="33"/>
    </row>
    <row r="609" spans="8:9" ht="14.25" customHeight="1" x14ac:dyDescent="0.25">
      <c r="H609" s="33"/>
      <c r="I609" s="33"/>
    </row>
    <row r="610" spans="8:9" ht="14.25" customHeight="1" x14ac:dyDescent="0.25">
      <c r="H610" s="33"/>
      <c r="I610" s="33"/>
    </row>
    <row r="611" spans="8:9" ht="14.25" customHeight="1" x14ac:dyDescent="0.25">
      <c r="H611" s="33"/>
      <c r="I611" s="33"/>
    </row>
    <row r="612" spans="8:9" ht="14.25" customHeight="1" x14ac:dyDescent="0.25">
      <c r="H612" s="33"/>
      <c r="I612" s="33"/>
    </row>
    <row r="613" spans="8:9" ht="14.25" customHeight="1" x14ac:dyDescent="0.25">
      <c r="H613" s="33"/>
      <c r="I613" s="33"/>
    </row>
    <row r="614" spans="8:9" ht="14.25" customHeight="1" x14ac:dyDescent="0.25">
      <c r="H614" s="33"/>
      <c r="I614" s="33"/>
    </row>
    <row r="615" spans="8:9" ht="14.25" customHeight="1" x14ac:dyDescent="0.25">
      <c r="H615" s="33"/>
      <c r="I615" s="33"/>
    </row>
    <row r="616" spans="8:9" ht="14.25" customHeight="1" x14ac:dyDescent="0.25">
      <c r="H616" s="33"/>
      <c r="I616" s="33"/>
    </row>
    <row r="617" spans="8:9" ht="14.25" customHeight="1" x14ac:dyDescent="0.25">
      <c r="H617" s="33"/>
      <c r="I617" s="33"/>
    </row>
    <row r="618" spans="8:9" ht="14.25" customHeight="1" x14ac:dyDescent="0.25">
      <c r="H618" s="33"/>
      <c r="I618" s="33"/>
    </row>
    <row r="619" spans="8:9" ht="14.25" customHeight="1" x14ac:dyDescent="0.25">
      <c r="H619" s="33"/>
      <c r="I619" s="33"/>
    </row>
    <row r="620" spans="8:9" ht="14.25" customHeight="1" x14ac:dyDescent="0.25">
      <c r="H620" s="33"/>
      <c r="I620" s="33"/>
    </row>
    <row r="621" spans="8:9" ht="14.25" customHeight="1" x14ac:dyDescent="0.25">
      <c r="H621" s="33"/>
      <c r="I621" s="33"/>
    </row>
    <row r="622" spans="8:9" ht="14.25" customHeight="1" x14ac:dyDescent="0.25">
      <c r="H622" s="33"/>
      <c r="I622" s="33"/>
    </row>
    <row r="623" spans="8:9" ht="14.25" customHeight="1" x14ac:dyDescent="0.25">
      <c r="H623" s="33"/>
      <c r="I623" s="33"/>
    </row>
    <row r="624" spans="8:9" ht="14.25" customHeight="1" x14ac:dyDescent="0.25">
      <c r="H624" s="33"/>
      <c r="I624" s="33"/>
    </row>
    <row r="625" spans="8:9" ht="14.25" customHeight="1" x14ac:dyDescent="0.25">
      <c r="H625" s="33"/>
      <c r="I625" s="33"/>
    </row>
    <row r="626" spans="8:9" ht="14.25" customHeight="1" x14ac:dyDescent="0.25">
      <c r="H626" s="33"/>
      <c r="I626" s="33"/>
    </row>
    <row r="627" spans="8:9" ht="14.25" customHeight="1" x14ac:dyDescent="0.25">
      <c r="H627" s="33"/>
      <c r="I627" s="33"/>
    </row>
    <row r="628" spans="8:9" ht="14.25" customHeight="1" x14ac:dyDescent="0.25">
      <c r="H628" s="33"/>
      <c r="I628" s="33"/>
    </row>
    <row r="629" spans="8:9" ht="14.25" customHeight="1" x14ac:dyDescent="0.25">
      <c r="H629" s="33"/>
      <c r="I629" s="33"/>
    </row>
    <row r="630" spans="8:9" ht="14.25" customHeight="1" x14ac:dyDescent="0.25">
      <c r="H630" s="33"/>
      <c r="I630" s="33"/>
    </row>
    <row r="631" spans="8:9" ht="14.25" customHeight="1" x14ac:dyDescent="0.25">
      <c r="H631" s="33"/>
      <c r="I631" s="33"/>
    </row>
    <row r="632" spans="8:9" ht="14.25" customHeight="1" x14ac:dyDescent="0.25">
      <c r="H632" s="33"/>
      <c r="I632" s="33"/>
    </row>
    <row r="633" spans="8:9" ht="14.25" customHeight="1" x14ac:dyDescent="0.25">
      <c r="H633" s="33"/>
      <c r="I633" s="33"/>
    </row>
    <row r="634" spans="8:9" ht="14.25" customHeight="1" x14ac:dyDescent="0.25">
      <c r="H634" s="33"/>
      <c r="I634" s="33"/>
    </row>
    <row r="635" spans="8:9" ht="14.25" customHeight="1" x14ac:dyDescent="0.25">
      <c r="H635" s="33"/>
      <c r="I635" s="33"/>
    </row>
    <row r="636" spans="8:9" ht="14.25" customHeight="1" x14ac:dyDescent="0.25">
      <c r="H636" s="33"/>
      <c r="I636" s="33"/>
    </row>
    <row r="637" spans="8:9" ht="14.25" customHeight="1" x14ac:dyDescent="0.25">
      <c r="H637" s="33"/>
      <c r="I637" s="33"/>
    </row>
    <row r="638" spans="8:9" ht="14.25" customHeight="1" x14ac:dyDescent="0.25">
      <c r="H638" s="33"/>
      <c r="I638" s="33"/>
    </row>
    <row r="639" spans="8:9" ht="14.25" customHeight="1" x14ac:dyDescent="0.25">
      <c r="H639" s="33"/>
      <c r="I639" s="33"/>
    </row>
    <row r="640" spans="8:9" ht="14.25" customHeight="1" x14ac:dyDescent="0.25">
      <c r="H640" s="33"/>
      <c r="I640" s="33"/>
    </row>
    <row r="641" spans="8:9" ht="14.25" customHeight="1" x14ac:dyDescent="0.25">
      <c r="H641" s="33"/>
      <c r="I641" s="33"/>
    </row>
    <row r="642" spans="8:9" ht="14.25" customHeight="1" x14ac:dyDescent="0.25">
      <c r="H642" s="33"/>
      <c r="I642" s="33"/>
    </row>
    <row r="643" spans="8:9" ht="14.25" customHeight="1" x14ac:dyDescent="0.25">
      <c r="H643" s="33"/>
      <c r="I643" s="33"/>
    </row>
    <row r="644" spans="8:9" ht="14.25" customHeight="1" x14ac:dyDescent="0.25">
      <c r="H644" s="33"/>
      <c r="I644" s="33"/>
    </row>
    <row r="645" spans="8:9" ht="14.25" customHeight="1" x14ac:dyDescent="0.25">
      <c r="H645" s="33"/>
      <c r="I645" s="33"/>
    </row>
    <row r="646" spans="8:9" ht="14.25" customHeight="1" x14ac:dyDescent="0.25">
      <c r="H646" s="33"/>
      <c r="I646" s="33"/>
    </row>
    <row r="647" spans="8:9" ht="14.25" customHeight="1" x14ac:dyDescent="0.25">
      <c r="H647" s="33"/>
      <c r="I647" s="33"/>
    </row>
    <row r="648" spans="8:9" ht="14.25" customHeight="1" x14ac:dyDescent="0.25">
      <c r="H648" s="33"/>
      <c r="I648" s="33"/>
    </row>
    <row r="649" spans="8:9" ht="14.25" customHeight="1" x14ac:dyDescent="0.25">
      <c r="H649" s="33"/>
      <c r="I649" s="33"/>
    </row>
    <row r="650" spans="8:9" ht="14.25" customHeight="1" x14ac:dyDescent="0.25">
      <c r="H650" s="33"/>
      <c r="I650" s="33"/>
    </row>
    <row r="651" spans="8:9" ht="14.25" customHeight="1" x14ac:dyDescent="0.25">
      <c r="H651" s="33"/>
      <c r="I651" s="33"/>
    </row>
    <row r="652" spans="8:9" ht="14.25" customHeight="1" x14ac:dyDescent="0.25">
      <c r="H652" s="33"/>
      <c r="I652" s="33"/>
    </row>
    <row r="653" spans="8:9" ht="14.25" customHeight="1" x14ac:dyDescent="0.25">
      <c r="H653" s="33"/>
      <c r="I653" s="33"/>
    </row>
    <row r="654" spans="8:9" ht="14.25" customHeight="1" x14ac:dyDescent="0.25">
      <c r="H654" s="33"/>
      <c r="I654" s="33"/>
    </row>
    <row r="655" spans="8:9" ht="14.25" customHeight="1" x14ac:dyDescent="0.25">
      <c r="H655" s="33"/>
      <c r="I655" s="33"/>
    </row>
    <row r="656" spans="8:9" ht="14.25" customHeight="1" x14ac:dyDescent="0.25">
      <c r="H656" s="33"/>
      <c r="I656" s="33"/>
    </row>
    <row r="657" spans="8:9" ht="14.25" customHeight="1" x14ac:dyDescent="0.25">
      <c r="H657" s="33"/>
      <c r="I657" s="33"/>
    </row>
    <row r="658" spans="8:9" ht="14.25" customHeight="1" x14ac:dyDescent="0.25">
      <c r="H658" s="33"/>
      <c r="I658" s="33"/>
    </row>
    <row r="659" spans="8:9" ht="14.25" customHeight="1" x14ac:dyDescent="0.25">
      <c r="H659" s="33"/>
      <c r="I659" s="33"/>
    </row>
    <row r="660" spans="8:9" ht="14.25" customHeight="1" x14ac:dyDescent="0.25">
      <c r="H660" s="33"/>
      <c r="I660" s="33"/>
    </row>
    <row r="661" spans="8:9" ht="14.25" customHeight="1" x14ac:dyDescent="0.25">
      <c r="H661" s="33"/>
      <c r="I661" s="33"/>
    </row>
    <row r="662" spans="8:9" ht="14.25" customHeight="1" x14ac:dyDescent="0.25">
      <c r="H662" s="33"/>
      <c r="I662" s="33"/>
    </row>
    <row r="663" spans="8:9" ht="14.25" customHeight="1" x14ac:dyDescent="0.25">
      <c r="H663" s="33"/>
      <c r="I663" s="33"/>
    </row>
    <row r="664" spans="8:9" ht="14.25" customHeight="1" x14ac:dyDescent="0.25">
      <c r="H664" s="33"/>
      <c r="I664" s="33"/>
    </row>
    <row r="665" spans="8:9" ht="14.25" customHeight="1" x14ac:dyDescent="0.25">
      <c r="H665" s="33"/>
      <c r="I665" s="33"/>
    </row>
    <row r="666" spans="8:9" ht="14.25" customHeight="1" x14ac:dyDescent="0.25">
      <c r="H666" s="33"/>
      <c r="I666" s="33"/>
    </row>
    <row r="667" spans="8:9" ht="14.25" customHeight="1" x14ac:dyDescent="0.25">
      <c r="H667" s="33"/>
      <c r="I667" s="33"/>
    </row>
    <row r="668" spans="8:9" ht="14.25" customHeight="1" x14ac:dyDescent="0.25">
      <c r="H668" s="33"/>
      <c r="I668" s="33"/>
    </row>
    <row r="669" spans="8:9" ht="14.25" customHeight="1" x14ac:dyDescent="0.25">
      <c r="H669" s="33"/>
      <c r="I669" s="33"/>
    </row>
    <row r="670" spans="8:9" ht="14.25" customHeight="1" x14ac:dyDescent="0.25">
      <c r="H670" s="33"/>
      <c r="I670" s="33"/>
    </row>
    <row r="671" spans="8:9" ht="14.25" customHeight="1" x14ac:dyDescent="0.25">
      <c r="H671" s="33"/>
      <c r="I671" s="33"/>
    </row>
    <row r="672" spans="8:9" ht="14.25" customHeight="1" x14ac:dyDescent="0.25">
      <c r="H672" s="33"/>
      <c r="I672" s="33"/>
    </row>
    <row r="673" spans="8:9" ht="14.25" customHeight="1" x14ac:dyDescent="0.25">
      <c r="H673" s="33"/>
      <c r="I673" s="33"/>
    </row>
    <row r="674" spans="8:9" ht="14.25" customHeight="1" x14ac:dyDescent="0.25">
      <c r="H674" s="33"/>
      <c r="I674" s="33"/>
    </row>
    <row r="675" spans="8:9" ht="14.25" customHeight="1" x14ac:dyDescent="0.25">
      <c r="H675" s="33"/>
      <c r="I675" s="33"/>
    </row>
    <row r="676" spans="8:9" ht="14.25" customHeight="1" x14ac:dyDescent="0.25">
      <c r="H676" s="33"/>
      <c r="I676" s="33"/>
    </row>
    <row r="677" spans="8:9" ht="14.25" customHeight="1" x14ac:dyDescent="0.25">
      <c r="H677" s="33"/>
      <c r="I677" s="33"/>
    </row>
    <row r="678" spans="8:9" ht="14.25" customHeight="1" x14ac:dyDescent="0.25">
      <c r="H678" s="33"/>
      <c r="I678" s="33"/>
    </row>
    <row r="679" spans="8:9" ht="14.25" customHeight="1" x14ac:dyDescent="0.25">
      <c r="H679" s="33"/>
      <c r="I679" s="33"/>
    </row>
    <row r="680" spans="8:9" ht="14.25" customHeight="1" x14ac:dyDescent="0.25">
      <c r="H680" s="33"/>
      <c r="I680" s="33"/>
    </row>
    <row r="681" spans="8:9" ht="14.25" customHeight="1" x14ac:dyDescent="0.25">
      <c r="H681" s="33"/>
      <c r="I681" s="33"/>
    </row>
    <row r="682" spans="8:9" ht="14.25" customHeight="1" x14ac:dyDescent="0.25">
      <c r="H682" s="33"/>
      <c r="I682" s="33"/>
    </row>
    <row r="683" spans="8:9" ht="14.25" customHeight="1" x14ac:dyDescent="0.25">
      <c r="H683" s="33"/>
      <c r="I683" s="33"/>
    </row>
    <row r="684" spans="8:9" ht="14.25" customHeight="1" x14ac:dyDescent="0.25">
      <c r="H684" s="33"/>
      <c r="I684" s="33"/>
    </row>
    <row r="685" spans="8:9" ht="14.25" customHeight="1" x14ac:dyDescent="0.25">
      <c r="H685" s="33"/>
      <c r="I685" s="33"/>
    </row>
    <row r="686" spans="8:9" ht="14.25" customHeight="1" x14ac:dyDescent="0.25">
      <c r="H686" s="33"/>
      <c r="I686" s="33"/>
    </row>
    <row r="687" spans="8:9" ht="14.25" customHeight="1" x14ac:dyDescent="0.25">
      <c r="H687" s="33"/>
      <c r="I687" s="33"/>
    </row>
    <row r="688" spans="8:9" ht="14.25" customHeight="1" x14ac:dyDescent="0.25">
      <c r="H688" s="33"/>
      <c r="I688" s="33"/>
    </row>
    <row r="689" spans="8:9" ht="14.25" customHeight="1" x14ac:dyDescent="0.25">
      <c r="H689" s="33"/>
      <c r="I689" s="33"/>
    </row>
    <row r="690" spans="8:9" ht="14.25" customHeight="1" x14ac:dyDescent="0.25">
      <c r="H690" s="33"/>
      <c r="I690" s="33"/>
    </row>
    <row r="691" spans="8:9" ht="14.25" customHeight="1" x14ac:dyDescent="0.25">
      <c r="H691" s="33"/>
      <c r="I691" s="33"/>
    </row>
    <row r="692" spans="8:9" ht="14.25" customHeight="1" x14ac:dyDescent="0.25">
      <c r="H692" s="33"/>
      <c r="I692" s="33"/>
    </row>
    <row r="693" spans="8:9" ht="14.25" customHeight="1" x14ac:dyDescent="0.25">
      <c r="H693" s="33"/>
      <c r="I693" s="33"/>
    </row>
    <row r="694" spans="8:9" ht="14.25" customHeight="1" x14ac:dyDescent="0.25">
      <c r="H694" s="33"/>
      <c r="I694" s="33"/>
    </row>
    <row r="695" spans="8:9" ht="14.25" customHeight="1" x14ac:dyDescent="0.25">
      <c r="H695" s="33"/>
      <c r="I695" s="33"/>
    </row>
    <row r="696" spans="8:9" ht="14.25" customHeight="1" x14ac:dyDescent="0.25">
      <c r="H696" s="33"/>
      <c r="I696" s="33"/>
    </row>
    <row r="697" spans="8:9" ht="14.25" customHeight="1" x14ac:dyDescent="0.25">
      <c r="H697" s="33"/>
      <c r="I697" s="33"/>
    </row>
    <row r="698" spans="8:9" ht="14.25" customHeight="1" x14ac:dyDescent="0.25">
      <c r="H698" s="33"/>
      <c r="I698" s="33"/>
    </row>
    <row r="699" spans="8:9" ht="14.25" customHeight="1" x14ac:dyDescent="0.25">
      <c r="H699" s="33"/>
      <c r="I699" s="33"/>
    </row>
    <row r="700" spans="8:9" ht="14.25" customHeight="1" x14ac:dyDescent="0.25">
      <c r="H700" s="33"/>
      <c r="I700" s="33"/>
    </row>
    <row r="701" spans="8:9" ht="14.25" customHeight="1" x14ac:dyDescent="0.25">
      <c r="H701" s="33"/>
      <c r="I701" s="33"/>
    </row>
    <row r="702" spans="8:9" ht="14.25" customHeight="1" x14ac:dyDescent="0.25">
      <c r="H702" s="33"/>
      <c r="I702" s="33"/>
    </row>
    <row r="703" spans="8:9" ht="14.25" customHeight="1" x14ac:dyDescent="0.25">
      <c r="H703" s="33"/>
      <c r="I703" s="33"/>
    </row>
    <row r="704" spans="8:9" ht="14.25" customHeight="1" x14ac:dyDescent="0.25">
      <c r="H704" s="33"/>
      <c r="I704" s="33"/>
    </row>
    <row r="705" spans="8:9" ht="14.25" customHeight="1" x14ac:dyDescent="0.25">
      <c r="H705" s="33"/>
      <c r="I705" s="33"/>
    </row>
    <row r="706" spans="8:9" ht="14.25" customHeight="1" x14ac:dyDescent="0.25">
      <c r="H706" s="33"/>
      <c r="I706" s="33"/>
    </row>
    <row r="707" spans="8:9" ht="14.25" customHeight="1" x14ac:dyDescent="0.25">
      <c r="H707" s="33"/>
      <c r="I707" s="33"/>
    </row>
    <row r="708" spans="8:9" ht="14.25" customHeight="1" x14ac:dyDescent="0.25">
      <c r="H708" s="33"/>
      <c r="I708" s="33"/>
    </row>
    <row r="709" spans="8:9" ht="14.25" customHeight="1" x14ac:dyDescent="0.25">
      <c r="H709" s="33"/>
      <c r="I709" s="33"/>
    </row>
    <row r="710" spans="8:9" ht="14.25" customHeight="1" x14ac:dyDescent="0.25">
      <c r="H710" s="33"/>
      <c r="I710" s="33"/>
    </row>
    <row r="711" spans="8:9" ht="14.25" customHeight="1" x14ac:dyDescent="0.25">
      <c r="H711" s="33"/>
      <c r="I711" s="33"/>
    </row>
    <row r="712" spans="8:9" ht="14.25" customHeight="1" x14ac:dyDescent="0.25">
      <c r="H712" s="33"/>
      <c r="I712" s="33"/>
    </row>
    <row r="713" spans="8:9" ht="14.25" customHeight="1" x14ac:dyDescent="0.25">
      <c r="H713" s="33"/>
      <c r="I713" s="33"/>
    </row>
    <row r="714" spans="8:9" ht="14.25" customHeight="1" x14ac:dyDescent="0.25">
      <c r="H714" s="33"/>
      <c r="I714" s="33"/>
    </row>
    <row r="715" spans="8:9" ht="14.25" customHeight="1" x14ac:dyDescent="0.25">
      <c r="H715" s="33"/>
      <c r="I715" s="33"/>
    </row>
    <row r="716" spans="8:9" ht="14.25" customHeight="1" x14ac:dyDescent="0.25">
      <c r="H716" s="33"/>
      <c r="I716" s="33"/>
    </row>
    <row r="717" spans="8:9" ht="14.25" customHeight="1" x14ac:dyDescent="0.25">
      <c r="H717" s="33"/>
      <c r="I717" s="33"/>
    </row>
    <row r="718" spans="8:9" ht="14.25" customHeight="1" x14ac:dyDescent="0.25">
      <c r="H718" s="33"/>
      <c r="I718" s="33"/>
    </row>
    <row r="719" spans="8:9" ht="14.25" customHeight="1" x14ac:dyDescent="0.25">
      <c r="H719" s="33"/>
      <c r="I719" s="33"/>
    </row>
    <row r="720" spans="8:9" ht="14.25" customHeight="1" x14ac:dyDescent="0.25">
      <c r="H720" s="33"/>
      <c r="I720" s="33"/>
    </row>
    <row r="721" spans="8:9" ht="14.25" customHeight="1" x14ac:dyDescent="0.25">
      <c r="H721" s="33"/>
      <c r="I721" s="33"/>
    </row>
    <row r="722" spans="8:9" ht="14.25" customHeight="1" x14ac:dyDescent="0.25">
      <c r="H722" s="33"/>
      <c r="I722" s="33"/>
    </row>
    <row r="723" spans="8:9" ht="14.25" customHeight="1" x14ac:dyDescent="0.25">
      <c r="H723" s="33"/>
      <c r="I723" s="33"/>
    </row>
    <row r="724" spans="8:9" ht="14.25" customHeight="1" x14ac:dyDescent="0.25">
      <c r="H724" s="33"/>
      <c r="I724" s="33"/>
    </row>
    <row r="725" spans="8:9" ht="14.25" customHeight="1" x14ac:dyDescent="0.25">
      <c r="H725" s="33"/>
      <c r="I725" s="33"/>
    </row>
    <row r="726" spans="8:9" ht="14.25" customHeight="1" x14ac:dyDescent="0.25">
      <c r="H726" s="33"/>
      <c r="I726" s="33"/>
    </row>
    <row r="727" spans="8:9" ht="14.25" customHeight="1" x14ac:dyDescent="0.25">
      <c r="H727" s="33"/>
      <c r="I727" s="33"/>
    </row>
    <row r="728" spans="8:9" ht="14.25" customHeight="1" x14ac:dyDescent="0.25">
      <c r="H728" s="33"/>
      <c r="I728" s="33"/>
    </row>
    <row r="729" spans="8:9" ht="14.25" customHeight="1" x14ac:dyDescent="0.25">
      <c r="H729" s="33"/>
      <c r="I729" s="33"/>
    </row>
    <row r="730" spans="8:9" ht="14.25" customHeight="1" x14ac:dyDescent="0.25">
      <c r="H730" s="33"/>
      <c r="I730" s="33"/>
    </row>
    <row r="731" spans="8:9" ht="14.25" customHeight="1" x14ac:dyDescent="0.25">
      <c r="H731" s="33"/>
      <c r="I731" s="33"/>
    </row>
    <row r="732" spans="8:9" ht="14.25" customHeight="1" x14ac:dyDescent="0.25">
      <c r="H732" s="33"/>
      <c r="I732" s="33"/>
    </row>
    <row r="733" spans="8:9" ht="14.25" customHeight="1" x14ac:dyDescent="0.25">
      <c r="H733" s="33"/>
      <c r="I733" s="33"/>
    </row>
    <row r="734" spans="8:9" ht="14.25" customHeight="1" x14ac:dyDescent="0.25">
      <c r="H734" s="33"/>
      <c r="I734" s="33"/>
    </row>
    <row r="735" spans="8:9" ht="14.25" customHeight="1" x14ac:dyDescent="0.25">
      <c r="H735" s="33"/>
      <c r="I735" s="33"/>
    </row>
    <row r="736" spans="8:9" ht="14.25" customHeight="1" x14ac:dyDescent="0.25">
      <c r="H736" s="33"/>
      <c r="I736" s="33"/>
    </row>
    <row r="737" spans="8:9" ht="14.25" customHeight="1" x14ac:dyDescent="0.25">
      <c r="H737" s="33"/>
      <c r="I737" s="33"/>
    </row>
    <row r="738" spans="8:9" ht="14.25" customHeight="1" x14ac:dyDescent="0.25">
      <c r="H738" s="33"/>
      <c r="I738" s="33"/>
    </row>
    <row r="739" spans="8:9" ht="14.25" customHeight="1" x14ac:dyDescent="0.25">
      <c r="H739" s="33"/>
      <c r="I739" s="33"/>
    </row>
    <row r="740" spans="8:9" ht="14.25" customHeight="1" x14ac:dyDescent="0.25">
      <c r="H740" s="33"/>
      <c r="I740" s="33"/>
    </row>
    <row r="741" spans="8:9" ht="14.25" customHeight="1" x14ac:dyDescent="0.25">
      <c r="H741" s="33"/>
      <c r="I741" s="33"/>
    </row>
    <row r="742" spans="8:9" ht="14.25" customHeight="1" x14ac:dyDescent="0.25">
      <c r="H742" s="33"/>
      <c r="I742" s="33"/>
    </row>
    <row r="743" spans="8:9" ht="14.25" customHeight="1" x14ac:dyDescent="0.25">
      <c r="H743" s="33"/>
      <c r="I743" s="33"/>
    </row>
    <row r="744" spans="8:9" ht="14.25" customHeight="1" x14ac:dyDescent="0.25">
      <c r="H744" s="33"/>
      <c r="I744" s="33"/>
    </row>
    <row r="745" spans="8:9" ht="14.25" customHeight="1" x14ac:dyDescent="0.25">
      <c r="H745" s="33"/>
      <c r="I745" s="33"/>
    </row>
    <row r="746" spans="8:9" ht="14.25" customHeight="1" x14ac:dyDescent="0.25">
      <c r="H746" s="33"/>
      <c r="I746" s="33"/>
    </row>
    <row r="747" spans="8:9" ht="14.25" customHeight="1" x14ac:dyDescent="0.25">
      <c r="H747" s="33"/>
      <c r="I747" s="33"/>
    </row>
    <row r="748" spans="8:9" ht="14.25" customHeight="1" x14ac:dyDescent="0.25">
      <c r="H748" s="33"/>
      <c r="I748" s="33"/>
    </row>
    <row r="749" spans="8:9" ht="14.25" customHeight="1" x14ac:dyDescent="0.25">
      <c r="H749" s="33"/>
      <c r="I749" s="33"/>
    </row>
    <row r="750" spans="8:9" ht="14.25" customHeight="1" x14ac:dyDescent="0.25">
      <c r="H750" s="33"/>
      <c r="I750" s="33"/>
    </row>
    <row r="751" spans="8:9" ht="14.25" customHeight="1" x14ac:dyDescent="0.25">
      <c r="H751" s="33"/>
      <c r="I751" s="33"/>
    </row>
    <row r="752" spans="8:9" ht="14.25" customHeight="1" x14ac:dyDescent="0.25">
      <c r="H752" s="33"/>
      <c r="I752" s="33"/>
    </row>
    <row r="753" spans="8:9" ht="14.25" customHeight="1" x14ac:dyDescent="0.25">
      <c r="H753" s="33"/>
      <c r="I753" s="33"/>
    </row>
    <row r="754" spans="8:9" ht="14.25" customHeight="1" x14ac:dyDescent="0.25">
      <c r="H754" s="33"/>
      <c r="I754" s="33"/>
    </row>
    <row r="755" spans="8:9" ht="14.25" customHeight="1" x14ac:dyDescent="0.25">
      <c r="H755" s="33"/>
      <c r="I755" s="33"/>
    </row>
    <row r="756" spans="8:9" ht="14.25" customHeight="1" x14ac:dyDescent="0.25">
      <c r="H756" s="33"/>
      <c r="I756" s="33"/>
    </row>
    <row r="757" spans="8:9" ht="14.25" customHeight="1" x14ac:dyDescent="0.25">
      <c r="H757" s="33"/>
      <c r="I757" s="33"/>
    </row>
    <row r="758" spans="8:9" ht="14.25" customHeight="1" x14ac:dyDescent="0.25">
      <c r="H758" s="33"/>
      <c r="I758" s="33"/>
    </row>
    <row r="759" spans="8:9" ht="14.25" customHeight="1" x14ac:dyDescent="0.25">
      <c r="H759" s="33"/>
      <c r="I759" s="33"/>
    </row>
    <row r="760" spans="8:9" ht="14.25" customHeight="1" x14ac:dyDescent="0.25">
      <c r="H760" s="33"/>
      <c r="I760" s="33"/>
    </row>
    <row r="761" spans="8:9" ht="14.25" customHeight="1" x14ac:dyDescent="0.25">
      <c r="H761" s="33"/>
      <c r="I761" s="33"/>
    </row>
    <row r="762" spans="8:9" ht="14.25" customHeight="1" x14ac:dyDescent="0.25">
      <c r="H762" s="33"/>
      <c r="I762" s="33"/>
    </row>
    <row r="763" spans="8:9" ht="14.25" customHeight="1" x14ac:dyDescent="0.25">
      <c r="H763" s="33"/>
      <c r="I763" s="33"/>
    </row>
    <row r="764" spans="8:9" ht="14.25" customHeight="1" x14ac:dyDescent="0.25">
      <c r="H764" s="33"/>
      <c r="I764" s="33"/>
    </row>
    <row r="765" spans="8:9" ht="14.25" customHeight="1" x14ac:dyDescent="0.25">
      <c r="H765" s="33"/>
      <c r="I765" s="33"/>
    </row>
    <row r="766" spans="8:9" ht="14.25" customHeight="1" x14ac:dyDescent="0.25">
      <c r="H766" s="33"/>
      <c r="I766" s="33"/>
    </row>
    <row r="767" spans="8:9" ht="14.25" customHeight="1" x14ac:dyDescent="0.25">
      <c r="H767" s="33"/>
      <c r="I767" s="33"/>
    </row>
    <row r="768" spans="8:9" ht="14.25" customHeight="1" x14ac:dyDescent="0.25">
      <c r="H768" s="33"/>
      <c r="I768" s="33"/>
    </row>
    <row r="769" spans="8:9" ht="14.25" customHeight="1" x14ac:dyDescent="0.25">
      <c r="H769" s="33"/>
      <c r="I769" s="33"/>
    </row>
    <row r="770" spans="8:9" ht="14.25" customHeight="1" x14ac:dyDescent="0.25">
      <c r="H770" s="33"/>
      <c r="I770" s="33"/>
    </row>
    <row r="771" spans="8:9" ht="14.25" customHeight="1" x14ac:dyDescent="0.25">
      <c r="H771" s="33"/>
      <c r="I771" s="33"/>
    </row>
    <row r="772" spans="8:9" ht="14.25" customHeight="1" x14ac:dyDescent="0.25">
      <c r="H772" s="33"/>
      <c r="I772" s="33"/>
    </row>
    <row r="773" spans="8:9" ht="14.25" customHeight="1" x14ac:dyDescent="0.25">
      <c r="H773" s="33"/>
      <c r="I773" s="33"/>
    </row>
    <row r="774" spans="8:9" ht="14.25" customHeight="1" x14ac:dyDescent="0.25">
      <c r="H774" s="33"/>
      <c r="I774" s="33"/>
    </row>
    <row r="775" spans="8:9" ht="14.25" customHeight="1" x14ac:dyDescent="0.25">
      <c r="H775" s="33"/>
      <c r="I775" s="33"/>
    </row>
    <row r="776" spans="8:9" ht="14.25" customHeight="1" x14ac:dyDescent="0.25">
      <c r="H776" s="33"/>
      <c r="I776" s="33"/>
    </row>
    <row r="777" spans="8:9" ht="14.25" customHeight="1" x14ac:dyDescent="0.25">
      <c r="H777" s="33"/>
      <c r="I777" s="33"/>
    </row>
    <row r="778" spans="8:9" ht="14.25" customHeight="1" x14ac:dyDescent="0.25">
      <c r="H778" s="33"/>
      <c r="I778" s="33"/>
    </row>
    <row r="779" spans="8:9" ht="14.25" customHeight="1" x14ac:dyDescent="0.25">
      <c r="H779" s="33"/>
      <c r="I779" s="33"/>
    </row>
    <row r="780" spans="8:9" ht="14.25" customHeight="1" x14ac:dyDescent="0.25">
      <c r="H780" s="33"/>
      <c r="I780" s="33"/>
    </row>
    <row r="781" spans="8:9" ht="14.25" customHeight="1" x14ac:dyDescent="0.25">
      <c r="H781" s="33"/>
      <c r="I781" s="33"/>
    </row>
    <row r="782" spans="8:9" ht="14.25" customHeight="1" x14ac:dyDescent="0.25">
      <c r="H782" s="33"/>
      <c r="I782" s="33"/>
    </row>
    <row r="783" spans="8:9" ht="14.25" customHeight="1" x14ac:dyDescent="0.25">
      <c r="H783" s="33"/>
      <c r="I783" s="33"/>
    </row>
    <row r="784" spans="8:9" ht="14.25" customHeight="1" x14ac:dyDescent="0.25">
      <c r="H784" s="33"/>
      <c r="I784" s="33"/>
    </row>
    <row r="785" spans="8:9" ht="14.25" customHeight="1" x14ac:dyDescent="0.25">
      <c r="H785" s="33"/>
      <c r="I785" s="33"/>
    </row>
    <row r="786" spans="8:9" ht="14.25" customHeight="1" x14ac:dyDescent="0.25">
      <c r="H786" s="33"/>
      <c r="I786" s="33"/>
    </row>
    <row r="787" spans="8:9" ht="14.25" customHeight="1" x14ac:dyDescent="0.25">
      <c r="H787" s="33"/>
      <c r="I787" s="33"/>
    </row>
    <row r="788" spans="8:9" ht="14.25" customHeight="1" x14ac:dyDescent="0.25">
      <c r="H788" s="33"/>
      <c r="I788" s="33"/>
    </row>
    <row r="789" spans="8:9" ht="14.25" customHeight="1" x14ac:dyDescent="0.25">
      <c r="H789" s="33"/>
      <c r="I789" s="33"/>
    </row>
    <row r="790" spans="8:9" ht="14.25" customHeight="1" x14ac:dyDescent="0.25">
      <c r="H790" s="33"/>
      <c r="I790" s="33"/>
    </row>
    <row r="791" spans="8:9" ht="14.25" customHeight="1" x14ac:dyDescent="0.25">
      <c r="H791" s="33"/>
      <c r="I791" s="33"/>
    </row>
    <row r="792" spans="8:9" ht="14.25" customHeight="1" x14ac:dyDescent="0.25">
      <c r="H792" s="33"/>
      <c r="I792" s="33"/>
    </row>
    <row r="793" spans="8:9" ht="14.25" customHeight="1" x14ac:dyDescent="0.25">
      <c r="H793" s="33"/>
      <c r="I793" s="33"/>
    </row>
    <row r="794" spans="8:9" ht="14.25" customHeight="1" x14ac:dyDescent="0.25">
      <c r="H794" s="33"/>
      <c r="I794" s="33"/>
    </row>
    <row r="795" spans="8:9" ht="14.25" customHeight="1" x14ac:dyDescent="0.25">
      <c r="H795" s="33"/>
      <c r="I795" s="33"/>
    </row>
    <row r="796" spans="8:9" ht="14.25" customHeight="1" x14ac:dyDescent="0.25">
      <c r="H796" s="33"/>
      <c r="I796" s="33"/>
    </row>
    <row r="797" spans="8:9" ht="14.25" customHeight="1" x14ac:dyDescent="0.25">
      <c r="H797" s="33"/>
      <c r="I797" s="33"/>
    </row>
    <row r="798" spans="8:9" ht="14.25" customHeight="1" x14ac:dyDescent="0.25">
      <c r="H798" s="33"/>
      <c r="I798" s="33"/>
    </row>
    <row r="799" spans="8:9" ht="14.25" customHeight="1" x14ac:dyDescent="0.25">
      <c r="H799" s="33"/>
      <c r="I799" s="33"/>
    </row>
    <row r="800" spans="8:9" ht="14.25" customHeight="1" x14ac:dyDescent="0.25">
      <c r="H800" s="33"/>
      <c r="I800" s="33"/>
    </row>
    <row r="801" spans="8:9" ht="14.25" customHeight="1" x14ac:dyDescent="0.25">
      <c r="H801" s="33"/>
      <c r="I801" s="33"/>
    </row>
    <row r="802" spans="8:9" ht="14.25" customHeight="1" x14ac:dyDescent="0.25">
      <c r="H802" s="33"/>
      <c r="I802" s="33"/>
    </row>
    <row r="803" spans="8:9" ht="14.25" customHeight="1" x14ac:dyDescent="0.25">
      <c r="H803" s="33"/>
      <c r="I803" s="33"/>
    </row>
    <row r="804" spans="8:9" ht="14.25" customHeight="1" x14ac:dyDescent="0.25">
      <c r="H804" s="33"/>
      <c r="I804" s="33"/>
    </row>
    <row r="805" spans="8:9" ht="14.25" customHeight="1" x14ac:dyDescent="0.25">
      <c r="H805" s="33"/>
      <c r="I805" s="33"/>
    </row>
    <row r="806" spans="8:9" ht="14.25" customHeight="1" x14ac:dyDescent="0.25">
      <c r="H806" s="33"/>
      <c r="I806" s="33"/>
    </row>
    <row r="807" spans="8:9" ht="14.25" customHeight="1" x14ac:dyDescent="0.25">
      <c r="H807" s="33"/>
      <c r="I807" s="33"/>
    </row>
    <row r="808" spans="8:9" ht="14.25" customHeight="1" x14ac:dyDescent="0.25">
      <c r="H808" s="33"/>
      <c r="I808" s="33"/>
    </row>
    <row r="809" spans="8:9" ht="14.25" customHeight="1" x14ac:dyDescent="0.25">
      <c r="H809" s="33"/>
      <c r="I809" s="33"/>
    </row>
    <row r="810" spans="8:9" ht="14.25" customHeight="1" x14ac:dyDescent="0.25">
      <c r="H810" s="33"/>
      <c r="I810" s="33"/>
    </row>
    <row r="811" spans="8:9" ht="14.25" customHeight="1" x14ac:dyDescent="0.25">
      <c r="H811" s="33"/>
      <c r="I811" s="33"/>
    </row>
    <row r="812" spans="8:9" ht="14.25" customHeight="1" x14ac:dyDescent="0.25">
      <c r="H812" s="33"/>
      <c r="I812" s="33"/>
    </row>
    <row r="813" spans="8:9" ht="14.25" customHeight="1" x14ac:dyDescent="0.25">
      <c r="H813" s="33"/>
      <c r="I813" s="33"/>
    </row>
    <row r="814" spans="8:9" ht="14.25" customHeight="1" x14ac:dyDescent="0.25">
      <c r="H814" s="33"/>
      <c r="I814" s="33"/>
    </row>
    <row r="815" spans="8:9" ht="14.25" customHeight="1" x14ac:dyDescent="0.25">
      <c r="H815" s="33"/>
      <c r="I815" s="33"/>
    </row>
    <row r="816" spans="8:9" ht="14.25" customHeight="1" x14ac:dyDescent="0.25">
      <c r="H816" s="33"/>
      <c r="I816" s="33"/>
    </row>
    <row r="817" spans="8:9" ht="14.25" customHeight="1" x14ac:dyDescent="0.25">
      <c r="H817" s="33"/>
      <c r="I817" s="33"/>
    </row>
    <row r="818" spans="8:9" ht="14.25" customHeight="1" x14ac:dyDescent="0.25">
      <c r="H818" s="33"/>
      <c r="I818" s="33"/>
    </row>
    <row r="819" spans="8:9" ht="14.25" customHeight="1" x14ac:dyDescent="0.25">
      <c r="H819" s="33"/>
      <c r="I819" s="33"/>
    </row>
    <row r="820" spans="8:9" ht="14.25" customHeight="1" x14ac:dyDescent="0.25">
      <c r="H820" s="33"/>
      <c r="I820" s="33"/>
    </row>
    <row r="821" spans="8:9" ht="14.25" customHeight="1" x14ac:dyDescent="0.25">
      <c r="H821" s="33"/>
      <c r="I821" s="33"/>
    </row>
    <row r="822" spans="8:9" ht="14.25" customHeight="1" x14ac:dyDescent="0.25">
      <c r="H822" s="33"/>
      <c r="I822" s="33"/>
    </row>
    <row r="823" spans="8:9" ht="14.25" customHeight="1" x14ac:dyDescent="0.25">
      <c r="H823" s="33"/>
      <c r="I823" s="33"/>
    </row>
    <row r="824" spans="8:9" ht="14.25" customHeight="1" x14ac:dyDescent="0.25">
      <c r="H824" s="33"/>
      <c r="I824" s="33"/>
    </row>
    <row r="825" spans="8:9" ht="14.25" customHeight="1" x14ac:dyDescent="0.25">
      <c r="H825" s="33"/>
      <c r="I825" s="33"/>
    </row>
    <row r="826" spans="8:9" ht="14.25" customHeight="1" x14ac:dyDescent="0.25">
      <c r="H826" s="33"/>
      <c r="I826" s="33"/>
    </row>
    <row r="827" spans="8:9" ht="14.25" customHeight="1" x14ac:dyDescent="0.25">
      <c r="H827" s="33"/>
      <c r="I827" s="33"/>
    </row>
    <row r="828" spans="8:9" ht="14.25" customHeight="1" x14ac:dyDescent="0.25">
      <c r="H828" s="33"/>
      <c r="I828" s="33"/>
    </row>
    <row r="829" spans="8:9" ht="14.25" customHeight="1" x14ac:dyDescent="0.25">
      <c r="H829" s="33"/>
      <c r="I829" s="33"/>
    </row>
    <row r="830" spans="8:9" ht="14.25" customHeight="1" x14ac:dyDescent="0.25">
      <c r="H830" s="33"/>
      <c r="I830" s="33"/>
    </row>
    <row r="831" spans="8:9" ht="14.25" customHeight="1" x14ac:dyDescent="0.25">
      <c r="H831" s="33"/>
      <c r="I831" s="33"/>
    </row>
    <row r="832" spans="8:9" ht="14.25" customHeight="1" x14ac:dyDescent="0.25">
      <c r="H832" s="33"/>
      <c r="I832" s="33"/>
    </row>
    <row r="833" spans="8:9" ht="14.25" customHeight="1" x14ac:dyDescent="0.25">
      <c r="H833" s="33"/>
      <c r="I833" s="33"/>
    </row>
    <row r="834" spans="8:9" ht="14.25" customHeight="1" x14ac:dyDescent="0.25">
      <c r="H834" s="33"/>
      <c r="I834" s="33"/>
    </row>
    <row r="835" spans="8:9" ht="14.25" customHeight="1" x14ac:dyDescent="0.25">
      <c r="H835" s="33"/>
      <c r="I835" s="33"/>
    </row>
    <row r="836" spans="8:9" ht="14.25" customHeight="1" x14ac:dyDescent="0.25">
      <c r="H836" s="33"/>
      <c r="I836" s="33"/>
    </row>
    <row r="837" spans="8:9" ht="14.25" customHeight="1" x14ac:dyDescent="0.25">
      <c r="H837" s="33"/>
      <c r="I837" s="33"/>
    </row>
    <row r="838" spans="8:9" ht="14.25" customHeight="1" x14ac:dyDescent="0.25">
      <c r="H838" s="33"/>
      <c r="I838" s="33"/>
    </row>
    <row r="839" spans="8:9" ht="14.25" customHeight="1" x14ac:dyDescent="0.25">
      <c r="H839" s="33"/>
      <c r="I839" s="33"/>
    </row>
    <row r="840" spans="8:9" ht="14.25" customHeight="1" x14ac:dyDescent="0.25">
      <c r="H840" s="33"/>
      <c r="I840" s="33"/>
    </row>
    <row r="841" spans="8:9" ht="14.25" customHeight="1" x14ac:dyDescent="0.25">
      <c r="H841" s="33"/>
      <c r="I841" s="33"/>
    </row>
    <row r="842" spans="8:9" ht="14.25" customHeight="1" x14ac:dyDescent="0.25">
      <c r="H842" s="33"/>
      <c r="I842" s="33"/>
    </row>
    <row r="843" spans="8:9" ht="14.25" customHeight="1" x14ac:dyDescent="0.25">
      <c r="H843" s="33"/>
      <c r="I843" s="33"/>
    </row>
    <row r="844" spans="8:9" ht="14.25" customHeight="1" x14ac:dyDescent="0.25">
      <c r="H844" s="33"/>
      <c r="I844" s="33"/>
    </row>
    <row r="845" spans="8:9" ht="14.25" customHeight="1" x14ac:dyDescent="0.25">
      <c r="H845" s="33"/>
      <c r="I845" s="33"/>
    </row>
    <row r="846" spans="8:9" ht="14.25" customHeight="1" x14ac:dyDescent="0.25">
      <c r="H846" s="33"/>
      <c r="I846" s="33"/>
    </row>
    <row r="847" spans="8:9" ht="14.25" customHeight="1" x14ac:dyDescent="0.25">
      <c r="H847" s="33"/>
      <c r="I847" s="33"/>
    </row>
    <row r="848" spans="8:9" ht="14.25" customHeight="1" x14ac:dyDescent="0.25">
      <c r="H848" s="33"/>
      <c r="I848" s="33"/>
    </row>
    <row r="849" spans="8:9" ht="14.25" customHeight="1" x14ac:dyDescent="0.25">
      <c r="H849" s="33"/>
      <c r="I849" s="33"/>
    </row>
    <row r="850" spans="8:9" ht="14.25" customHeight="1" x14ac:dyDescent="0.25">
      <c r="H850" s="33"/>
      <c r="I850" s="33"/>
    </row>
    <row r="851" spans="8:9" ht="14.25" customHeight="1" x14ac:dyDescent="0.25">
      <c r="H851" s="33"/>
      <c r="I851" s="33"/>
    </row>
    <row r="852" spans="8:9" ht="14.25" customHeight="1" x14ac:dyDescent="0.25">
      <c r="H852" s="33"/>
      <c r="I852" s="33"/>
    </row>
    <row r="853" spans="8:9" ht="14.25" customHeight="1" x14ac:dyDescent="0.25">
      <c r="H853" s="33"/>
      <c r="I853" s="33"/>
    </row>
    <row r="854" spans="8:9" ht="14.25" customHeight="1" x14ac:dyDescent="0.25">
      <c r="H854" s="33"/>
      <c r="I854" s="33"/>
    </row>
    <row r="855" spans="8:9" ht="14.25" customHeight="1" x14ac:dyDescent="0.25">
      <c r="H855" s="33"/>
      <c r="I855" s="33"/>
    </row>
    <row r="856" spans="8:9" ht="14.25" customHeight="1" x14ac:dyDescent="0.25">
      <c r="H856" s="33"/>
      <c r="I856" s="33"/>
    </row>
    <row r="857" spans="8:9" ht="14.25" customHeight="1" x14ac:dyDescent="0.25">
      <c r="H857" s="33"/>
      <c r="I857" s="33"/>
    </row>
    <row r="858" spans="8:9" ht="14.25" customHeight="1" x14ac:dyDescent="0.25">
      <c r="H858" s="33"/>
      <c r="I858" s="33"/>
    </row>
    <row r="859" spans="8:9" ht="14.25" customHeight="1" x14ac:dyDescent="0.25">
      <c r="H859" s="33"/>
      <c r="I859" s="33"/>
    </row>
    <row r="860" spans="8:9" ht="14.25" customHeight="1" x14ac:dyDescent="0.25">
      <c r="H860" s="33"/>
      <c r="I860" s="33"/>
    </row>
    <row r="861" spans="8:9" ht="14.25" customHeight="1" x14ac:dyDescent="0.25">
      <c r="H861" s="33"/>
      <c r="I861" s="33"/>
    </row>
    <row r="862" spans="8:9" ht="14.25" customHeight="1" x14ac:dyDescent="0.25">
      <c r="H862" s="33"/>
      <c r="I862" s="33"/>
    </row>
    <row r="863" spans="8:9" ht="14.25" customHeight="1" x14ac:dyDescent="0.25">
      <c r="H863" s="33"/>
      <c r="I863" s="33"/>
    </row>
    <row r="864" spans="8:9" ht="14.25" customHeight="1" x14ac:dyDescent="0.25">
      <c r="H864" s="33"/>
      <c r="I864" s="33"/>
    </row>
    <row r="865" spans="8:9" ht="14.25" customHeight="1" x14ac:dyDescent="0.25">
      <c r="H865" s="33"/>
      <c r="I865" s="33"/>
    </row>
    <row r="866" spans="8:9" ht="14.25" customHeight="1" x14ac:dyDescent="0.25">
      <c r="H866" s="33"/>
      <c r="I866" s="33"/>
    </row>
    <row r="867" spans="8:9" ht="14.25" customHeight="1" x14ac:dyDescent="0.25">
      <c r="H867" s="33"/>
      <c r="I867" s="33"/>
    </row>
    <row r="868" spans="8:9" ht="14.25" customHeight="1" x14ac:dyDescent="0.25">
      <c r="H868" s="33"/>
      <c r="I868" s="33"/>
    </row>
    <row r="869" spans="8:9" ht="14.25" customHeight="1" x14ac:dyDescent="0.25">
      <c r="H869" s="33"/>
      <c r="I869" s="33"/>
    </row>
    <row r="870" spans="8:9" ht="14.25" customHeight="1" x14ac:dyDescent="0.25">
      <c r="H870" s="33"/>
      <c r="I870" s="33"/>
    </row>
    <row r="871" spans="8:9" ht="14.25" customHeight="1" x14ac:dyDescent="0.25">
      <c r="H871" s="33"/>
      <c r="I871" s="33"/>
    </row>
    <row r="872" spans="8:9" ht="14.25" customHeight="1" x14ac:dyDescent="0.25">
      <c r="H872" s="33"/>
      <c r="I872" s="33"/>
    </row>
    <row r="873" spans="8:9" ht="14.25" customHeight="1" x14ac:dyDescent="0.25">
      <c r="H873" s="33"/>
      <c r="I873" s="33"/>
    </row>
    <row r="874" spans="8:9" ht="14.25" customHeight="1" x14ac:dyDescent="0.25">
      <c r="H874" s="33"/>
      <c r="I874" s="33"/>
    </row>
    <row r="875" spans="8:9" ht="14.25" customHeight="1" x14ac:dyDescent="0.25">
      <c r="H875" s="33"/>
      <c r="I875" s="33"/>
    </row>
    <row r="876" spans="8:9" ht="14.25" customHeight="1" x14ac:dyDescent="0.25">
      <c r="H876" s="33"/>
      <c r="I876" s="33"/>
    </row>
    <row r="877" spans="8:9" ht="14.25" customHeight="1" x14ac:dyDescent="0.25">
      <c r="H877" s="33"/>
      <c r="I877" s="33"/>
    </row>
    <row r="878" spans="8:9" ht="14.25" customHeight="1" x14ac:dyDescent="0.25">
      <c r="H878" s="33"/>
      <c r="I878" s="33"/>
    </row>
    <row r="879" spans="8:9" ht="14.25" customHeight="1" x14ac:dyDescent="0.25">
      <c r="H879" s="33"/>
      <c r="I879" s="33"/>
    </row>
    <row r="880" spans="8:9" ht="14.25" customHeight="1" x14ac:dyDescent="0.25">
      <c r="H880" s="33"/>
      <c r="I880" s="33"/>
    </row>
    <row r="881" spans="8:9" ht="14.25" customHeight="1" x14ac:dyDescent="0.25">
      <c r="H881" s="33"/>
      <c r="I881" s="33"/>
    </row>
    <row r="882" spans="8:9" ht="14.25" customHeight="1" x14ac:dyDescent="0.25">
      <c r="H882" s="33"/>
      <c r="I882" s="33"/>
    </row>
    <row r="883" spans="8:9" ht="14.25" customHeight="1" x14ac:dyDescent="0.25">
      <c r="H883" s="33"/>
      <c r="I883" s="33"/>
    </row>
    <row r="884" spans="8:9" ht="14.25" customHeight="1" x14ac:dyDescent="0.25">
      <c r="H884" s="33"/>
      <c r="I884" s="33"/>
    </row>
    <row r="885" spans="8:9" ht="14.25" customHeight="1" x14ac:dyDescent="0.25">
      <c r="H885" s="33"/>
      <c r="I885" s="33"/>
    </row>
    <row r="886" spans="8:9" ht="14.25" customHeight="1" x14ac:dyDescent="0.25">
      <c r="H886" s="33"/>
      <c r="I886" s="33"/>
    </row>
    <row r="887" spans="8:9" ht="14.25" customHeight="1" x14ac:dyDescent="0.25">
      <c r="H887" s="33"/>
      <c r="I887" s="33"/>
    </row>
    <row r="888" spans="8:9" ht="14.25" customHeight="1" x14ac:dyDescent="0.25">
      <c r="H888" s="33"/>
      <c r="I888" s="33"/>
    </row>
    <row r="889" spans="8:9" ht="14.25" customHeight="1" x14ac:dyDescent="0.25">
      <c r="H889" s="33"/>
      <c r="I889" s="33"/>
    </row>
    <row r="890" spans="8:9" ht="14.25" customHeight="1" x14ac:dyDescent="0.25">
      <c r="H890" s="33"/>
      <c r="I890" s="33"/>
    </row>
    <row r="891" spans="8:9" ht="14.25" customHeight="1" x14ac:dyDescent="0.25">
      <c r="H891" s="33"/>
      <c r="I891" s="33"/>
    </row>
    <row r="892" spans="8:9" ht="14.25" customHeight="1" x14ac:dyDescent="0.25">
      <c r="H892" s="33"/>
      <c r="I892" s="33"/>
    </row>
    <row r="893" spans="8:9" ht="14.25" customHeight="1" x14ac:dyDescent="0.25">
      <c r="H893" s="33"/>
      <c r="I893" s="33"/>
    </row>
    <row r="894" spans="8:9" ht="14.25" customHeight="1" x14ac:dyDescent="0.25">
      <c r="H894" s="33"/>
      <c r="I894" s="33"/>
    </row>
    <row r="895" spans="8:9" ht="14.25" customHeight="1" x14ac:dyDescent="0.25">
      <c r="H895" s="33"/>
      <c r="I895" s="33"/>
    </row>
    <row r="896" spans="8:9" ht="14.25" customHeight="1" x14ac:dyDescent="0.25">
      <c r="H896" s="33"/>
      <c r="I896" s="33"/>
    </row>
    <row r="897" spans="8:9" ht="14.25" customHeight="1" x14ac:dyDescent="0.25">
      <c r="H897" s="33"/>
      <c r="I897" s="33"/>
    </row>
    <row r="898" spans="8:9" ht="14.25" customHeight="1" x14ac:dyDescent="0.25">
      <c r="H898" s="33"/>
      <c r="I898" s="33"/>
    </row>
    <row r="899" spans="8:9" ht="14.25" customHeight="1" x14ac:dyDescent="0.25">
      <c r="H899" s="33"/>
      <c r="I899" s="33"/>
    </row>
    <row r="900" spans="8:9" ht="14.25" customHeight="1" x14ac:dyDescent="0.25">
      <c r="H900" s="33"/>
      <c r="I900" s="33"/>
    </row>
    <row r="901" spans="8:9" ht="14.25" customHeight="1" x14ac:dyDescent="0.25">
      <c r="H901" s="33"/>
      <c r="I901" s="33"/>
    </row>
    <row r="902" spans="8:9" ht="14.25" customHeight="1" x14ac:dyDescent="0.25">
      <c r="H902" s="33"/>
      <c r="I902" s="33"/>
    </row>
    <row r="903" spans="8:9" ht="14.25" customHeight="1" x14ac:dyDescent="0.25">
      <c r="H903" s="33"/>
      <c r="I903" s="33"/>
    </row>
    <row r="904" spans="8:9" ht="14.25" customHeight="1" x14ac:dyDescent="0.25">
      <c r="H904" s="33"/>
      <c r="I904" s="33"/>
    </row>
    <row r="905" spans="8:9" ht="14.25" customHeight="1" x14ac:dyDescent="0.25">
      <c r="H905" s="33"/>
      <c r="I905" s="33"/>
    </row>
    <row r="906" spans="8:9" ht="14.25" customHeight="1" x14ac:dyDescent="0.25">
      <c r="H906" s="33"/>
      <c r="I906" s="33"/>
    </row>
    <row r="907" spans="8:9" ht="14.25" customHeight="1" x14ac:dyDescent="0.25">
      <c r="H907" s="33"/>
      <c r="I907" s="33"/>
    </row>
    <row r="908" spans="8:9" ht="14.25" customHeight="1" x14ac:dyDescent="0.25">
      <c r="H908" s="33"/>
      <c r="I908" s="33"/>
    </row>
    <row r="909" spans="8:9" ht="14.25" customHeight="1" x14ac:dyDescent="0.25">
      <c r="H909" s="33"/>
      <c r="I909" s="33"/>
    </row>
    <row r="910" spans="8:9" ht="14.25" customHeight="1" x14ac:dyDescent="0.25">
      <c r="H910" s="33"/>
      <c r="I910" s="33"/>
    </row>
    <row r="911" spans="8:9" ht="14.25" customHeight="1" x14ac:dyDescent="0.25">
      <c r="H911" s="33"/>
      <c r="I911" s="33"/>
    </row>
    <row r="912" spans="8:9" ht="14.25" customHeight="1" x14ac:dyDescent="0.25">
      <c r="H912" s="33"/>
      <c r="I912" s="33"/>
    </row>
    <row r="913" spans="8:9" ht="14.25" customHeight="1" x14ac:dyDescent="0.25">
      <c r="H913" s="33"/>
      <c r="I913" s="33"/>
    </row>
    <row r="914" spans="8:9" ht="14.25" customHeight="1" x14ac:dyDescent="0.25">
      <c r="H914" s="33"/>
      <c r="I914" s="33"/>
    </row>
    <row r="915" spans="8:9" ht="14.25" customHeight="1" x14ac:dyDescent="0.25">
      <c r="H915" s="33"/>
      <c r="I915" s="33"/>
    </row>
    <row r="916" spans="8:9" ht="14.25" customHeight="1" x14ac:dyDescent="0.25">
      <c r="H916" s="33"/>
      <c r="I916" s="33"/>
    </row>
    <row r="917" spans="8:9" ht="14.25" customHeight="1" x14ac:dyDescent="0.25">
      <c r="H917" s="33"/>
      <c r="I917" s="33"/>
    </row>
    <row r="918" spans="8:9" ht="14.25" customHeight="1" x14ac:dyDescent="0.25">
      <c r="H918" s="33"/>
      <c r="I918" s="33"/>
    </row>
    <row r="919" spans="8:9" ht="14.25" customHeight="1" x14ac:dyDescent="0.25">
      <c r="H919" s="33"/>
      <c r="I919" s="33"/>
    </row>
    <row r="920" spans="8:9" ht="14.25" customHeight="1" x14ac:dyDescent="0.25">
      <c r="H920" s="33"/>
      <c r="I920" s="33"/>
    </row>
    <row r="921" spans="8:9" ht="14.25" customHeight="1" x14ac:dyDescent="0.25">
      <c r="H921" s="33"/>
      <c r="I921" s="33"/>
    </row>
    <row r="922" spans="8:9" ht="14.25" customHeight="1" x14ac:dyDescent="0.25">
      <c r="H922" s="33"/>
      <c r="I922" s="33"/>
    </row>
    <row r="923" spans="8:9" ht="14.25" customHeight="1" x14ac:dyDescent="0.25">
      <c r="H923" s="33"/>
      <c r="I923" s="33"/>
    </row>
    <row r="924" spans="8:9" ht="14.25" customHeight="1" x14ac:dyDescent="0.25">
      <c r="H924" s="33"/>
      <c r="I924" s="33"/>
    </row>
    <row r="925" spans="8:9" ht="14.25" customHeight="1" x14ac:dyDescent="0.25">
      <c r="H925" s="33"/>
      <c r="I925" s="33"/>
    </row>
    <row r="926" spans="8:9" ht="14.25" customHeight="1" x14ac:dyDescent="0.25">
      <c r="H926" s="33"/>
      <c r="I926" s="33"/>
    </row>
    <row r="927" spans="8:9" ht="14.25" customHeight="1" x14ac:dyDescent="0.25">
      <c r="H927" s="33"/>
      <c r="I927" s="33"/>
    </row>
    <row r="928" spans="8:9" ht="14.25" customHeight="1" x14ac:dyDescent="0.25">
      <c r="H928" s="33"/>
      <c r="I928" s="33"/>
    </row>
    <row r="929" spans="8:9" ht="14.25" customHeight="1" x14ac:dyDescent="0.25">
      <c r="H929" s="33"/>
      <c r="I929" s="33"/>
    </row>
    <row r="930" spans="8:9" ht="14.25" customHeight="1" x14ac:dyDescent="0.25">
      <c r="H930" s="33"/>
      <c r="I930" s="33"/>
    </row>
    <row r="931" spans="8:9" ht="14.25" customHeight="1" x14ac:dyDescent="0.25">
      <c r="H931" s="33"/>
      <c r="I931" s="33"/>
    </row>
    <row r="932" spans="8:9" ht="14.25" customHeight="1" x14ac:dyDescent="0.25">
      <c r="H932" s="33"/>
      <c r="I932" s="33"/>
    </row>
    <row r="933" spans="8:9" ht="14.25" customHeight="1" x14ac:dyDescent="0.25">
      <c r="H933" s="33"/>
      <c r="I933" s="33"/>
    </row>
    <row r="934" spans="8:9" ht="14.25" customHeight="1" x14ac:dyDescent="0.25">
      <c r="H934" s="33"/>
      <c r="I934" s="33"/>
    </row>
    <row r="935" spans="8:9" ht="14.25" customHeight="1" x14ac:dyDescent="0.25">
      <c r="H935" s="33"/>
      <c r="I935" s="33"/>
    </row>
    <row r="936" spans="8:9" ht="14.25" customHeight="1" x14ac:dyDescent="0.25">
      <c r="H936" s="33"/>
      <c r="I936" s="33"/>
    </row>
    <row r="937" spans="8:9" ht="14.25" customHeight="1" x14ac:dyDescent="0.25">
      <c r="H937" s="33"/>
      <c r="I937" s="33"/>
    </row>
    <row r="938" spans="8:9" ht="14.25" customHeight="1" x14ac:dyDescent="0.25">
      <c r="H938" s="33"/>
      <c r="I938" s="33"/>
    </row>
    <row r="939" spans="8:9" ht="14.25" customHeight="1" x14ac:dyDescent="0.25">
      <c r="H939" s="33"/>
      <c r="I939" s="33"/>
    </row>
    <row r="940" spans="8:9" ht="14.25" customHeight="1" x14ac:dyDescent="0.25">
      <c r="H940" s="33"/>
      <c r="I940" s="33"/>
    </row>
    <row r="941" spans="8:9" ht="14.25" customHeight="1" x14ac:dyDescent="0.25">
      <c r="H941" s="33"/>
      <c r="I941" s="33"/>
    </row>
    <row r="942" spans="8:9" ht="14.25" customHeight="1" x14ac:dyDescent="0.25">
      <c r="H942" s="33"/>
      <c r="I942" s="33"/>
    </row>
    <row r="943" spans="8:9" ht="14.25" customHeight="1" x14ac:dyDescent="0.25">
      <c r="H943" s="33"/>
      <c r="I943" s="33"/>
    </row>
    <row r="944" spans="8:9" ht="14.25" customHeight="1" x14ac:dyDescent="0.25">
      <c r="H944" s="33"/>
      <c r="I944" s="33"/>
    </row>
    <row r="945" spans="8:9" ht="14.25" customHeight="1" x14ac:dyDescent="0.25">
      <c r="H945" s="33"/>
      <c r="I945" s="33"/>
    </row>
    <row r="946" spans="8:9" ht="14.25" customHeight="1" x14ac:dyDescent="0.25">
      <c r="H946" s="33"/>
      <c r="I946" s="33"/>
    </row>
    <row r="947" spans="8:9" ht="14.25" customHeight="1" x14ac:dyDescent="0.25">
      <c r="H947" s="33"/>
      <c r="I947" s="33"/>
    </row>
    <row r="948" spans="8:9" ht="14.25" customHeight="1" x14ac:dyDescent="0.25">
      <c r="H948" s="33"/>
      <c r="I948" s="33"/>
    </row>
    <row r="949" spans="8:9" ht="14.25" customHeight="1" x14ac:dyDescent="0.25">
      <c r="H949" s="33"/>
      <c r="I949" s="33"/>
    </row>
    <row r="950" spans="8:9" ht="14.25" customHeight="1" x14ac:dyDescent="0.25">
      <c r="H950" s="33"/>
      <c r="I950" s="33"/>
    </row>
    <row r="951" spans="8:9" ht="14.25" customHeight="1" x14ac:dyDescent="0.25">
      <c r="H951" s="33"/>
      <c r="I951" s="33"/>
    </row>
    <row r="952" spans="8:9" ht="14.25" customHeight="1" x14ac:dyDescent="0.25">
      <c r="H952" s="33"/>
      <c r="I952" s="33"/>
    </row>
    <row r="953" spans="8:9" ht="14.25" customHeight="1" x14ac:dyDescent="0.25">
      <c r="H953" s="33"/>
      <c r="I953" s="33"/>
    </row>
    <row r="954" spans="8:9" ht="14.25" customHeight="1" x14ac:dyDescent="0.25">
      <c r="H954" s="33"/>
      <c r="I954" s="33"/>
    </row>
    <row r="955" spans="8:9" ht="14.25" customHeight="1" x14ac:dyDescent="0.25">
      <c r="H955" s="33"/>
      <c r="I955" s="33"/>
    </row>
    <row r="956" spans="8:9" ht="14.25" customHeight="1" x14ac:dyDescent="0.25">
      <c r="H956" s="33"/>
      <c r="I956" s="33"/>
    </row>
    <row r="957" spans="8:9" ht="14.25" customHeight="1" x14ac:dyDescent="0.25">
      <c r="H957" s="33"/>
      <c r="I957" s="33"/>
    </row>
    <row r="958" spans="8:9" ht="14.25" customHeight="1" x14ac:dyDescent="0.25">
      <c r="H958" s="33"/>
      <c r="I958" s="33"/>
    </row>
    <row r="959" spans="8:9" ht="14.25" customHeight="1" x14ac:dyDescent="0.25">
      <c r="H959" s="33"/>
      <c r="I959" s="33"/>
    </row>
    <row r="960" spans="8:9" ht="14.25" customHeight="1" x14ac:dyDescent="0.25">
      <c r="H960" s="33"/>
      <c r="I960" s="33"/>
    </row>
    <row r="961" spans="8:9" ht="14.25" customHeight="1" x14ac:dyDescent="0.25">
      <c r="H961" s="33"/>
      <c r="I961" s="33"/>
    </row>
    <row r="962" spans="8:9" ht="14.25" customHeight="1" x14ac:dyDescent="0.25">
      <c r="H962" s="33"/>
      <c r="I962" s="33"/>
    </row>
    <row r="963" spans="8:9" ht="14.25" customHeight="1" x14ac:dyDescent="0.25">
      <c r="H963" s="33"/>
      <c r="I963" s="33"/>
    </row>
    <row r="964" spans="8:9" ht="14.25" customHeight="1" x14ac:dyDescent="0.25">
      <c r="H964" s="33"/>
      <c r="I964" s="33"/>
    </row>
    <row r="965" spans="8:9" ht="14.25" customHeight="1" x14ac:dyDescent="0.25">
      <c r="H965" s="33"/>
      <c r="I965" s="33"/>
    </row>
    <row r="966" spans="8:9" ht="14.25" customHeight="1" x14ac:dyDescent="0.25">
      <c r="H966" s="33"/>
      <c r="I966" s="33"/>
    </row>
    <row r="967" spans="8:9" ht="14.25" customHeight="1" x14ac:dyDescent="0.25">
      <c r="H967" s="33"/>
      <c r="I967" s="33"/>
    </row>
    <row r="968" spans="8:9" ht="14.25" customHeight="1" x14ac:dyDescent="0.25">
      <c r="H968" s="33"/>
      <c r="I968" s="33"/>
    </row>
    <row r="969" spans="8:9" ht="14.25" customHeight="1" x14ac:dyDescent="0.25">
      <c r="H969" s="33"/>
      <c r="I969" s="33"/>
    </row>
    <row r="970" spans="8:9" ht="14.25" customHeight="1" x14ac:dyDescent="0.25">
      <c r="H970" s="33"/>
      <c r="I970" s="33"/>
    </row>
    <row r="971" spans="8:9" ht="14.25" customHeight="1" x14ac:dyDescent="0.25">
      <c r="H971" s="33"/>
      <c r="I971" s="33"/>
    </row>
    <row r="972" spans="8:9" ht="14.25" customHeight="1" x14ac:dyDescent="0.25">
      <c r="H972" s="33"/>
      <c r="I972" s="33"/>
    </row>
    <row r="973" spans="8:9" ht="14.25" customHeight="1" x14ac:dyDescent="0.25">
      <c r="H973" s="33"/>
      <c r="I973" s="33"/>
    </row>
    <row r="974" spans="8:9" ht="14.25" customHeight="1" x14ac:dyDescent="0.25">
      <c r="H974" s="33"/>
      <c r="I974" s="33"/>
    </row>
    <row r="975" spans="8:9" ht="14.25" customHeight="1" x14ac:dyDescent="0.25">
      <c r="H975" s="33"/>
      <c r="I975" s="33"/>
    </row>
    <row r="976" spans="8:9" ht="14.25" customHeight="1" x14ac:dyDescent="0.25">
      <c r="H976" s="33"/>
      <c r="I976" s="33"/>
    </row>
    <row r="977" spans="8:9" ht="14.25" customHeight="1" x14ac:dyDescent="0.25">
      <c r="H977" s="33"/>
      <c r="I977" s="33"/>
    </row>
    <row r="978" spans="8:9" ht="14.25" customHeight="1" x14ac:dyDescent="0.25">
      <c r="H978" s="33"/>
      <c r="I978" s="33"/>
    </row>
    <row r="979" spans="8:9" ht="14.25" customHeight="1" x14ac:dyDescent="0.25">
      <c r="H979" s="33"/>
      <c r="I979" s="33"/>
    </row>
    <row r="980" spans="8:9" ht="14.25" customHeight="1" x14ac:dyDescent="0.25">
      <c r="H980" s="33"/>
      <c r="I980" s="33"/>
    </row>
    <row r="981" spans="8:9" ht="14.25" customHeight="1" x14ac:dyDescent="0.25">
      <c r="H981" s="33"/>
      <c r="I981" s="33"/>
    </row>
    <row r="982" spans="8:9" ht="14.25" customHeight="1" x14ac:dyDescent="0.25">
      <c r="H982" s="33"/>
      <c r="I982" s="33"/>
    </row>
    <row r="983" spans="8:9" ht="14.25" customHeight="1" x14ac:dyDescent="0.25">
      <c r="H983" s="33"/>
      <c r="I983" s="33"/>
    </row>
    <row r="984" spans="8:9" ht="14.25" customHeight="1" x14ac:dyDescent="0.25">
      <c r="H984" s="33"/>
      <c r="I984" s="33"/>
    </row>
    <row r="985" spans="8:9" ht="14.25" customHeight="1" x14ac:dyDescent="0.25">
      <c r="H985" s="33"/>
      <c r="I985" s="33"/>
    </row>
    <row r="986" spans="8:9" ht="14.25" customHeight="1" x14ac:dyDescent="0.25">
      <c r="H986" s="33"/>
      <c r="I986" s="33"/>
    </row>
    <row r="987" spans="8:9" ht="14.25" customHeight="1" x14ac:dyDescent="0.25">
      <c r="H987" s="33"/>
      <c r="I987" s="33"/>
    </row>
    <row r="988" spans="8:9" ht="14.25" customHeight="1" x14ac:dyDescent="0.25">
      <c r="H988" s="33"/>
      <c r="I988" s="33"/>
    </row>
    <row r="989" spans="8:9" ht="14.25" customHeight="1" x14ac:dyDescent="0.25">
      <c r="H989" s="33"/>
      <c r="I989" s="33"/>
    </row>
    <row r="990" spans="8:9" ht="14.25" customHeight="1" x14ac:dyDescent="0.25">
      <c r="H990" s="33"/>
      <c r="I990" s="33"/>
    </row>
    <row r="991" spans="8:9" ht="14.25" customHeight="1" x14ac:dyDescent="0.25">
      <c r="H991" s="33"/>
      <c r="I991" s="33"/>
    </row>
    <row r="992" spans="8:9" ht="14.25" customHeight="1" x14ac:dyDescent="0.25">
      <c r="H992" s="33"/>
      <c r="I992" s="33"/>
    </row>
    <row r="993" spans="8:9" ht="14.25" customHeight="1" x14ac:dyDescent="0.25">
      <c r="H993" s="33"/>
      <c r="I993" s="33"/>
    </row>
    <row r="994" spans="8:9" ht="14.25" customHeight="1" x14ac:dyDescent="0.25">
      <c r="H994" s="33"/>
      <c r="I994" s="33"/>
    </row>
    <row r="995" spans="8:9" ht="14.25" customHeight="1" x14ac:dyDescent="0.25">
      <c r="H995" s="33"/>
      <c r="I995" s="33"/>
    </row>
    <row r="996" spans="8:9" ht="14.25" customHeight="1" x14ac:dyDescent="0.25">
      <c r="H996" s="33"/>
      <c r="I996" s="33"/>
    </row>
    <row r="997" spans="8:9" ht="14.25" customHeight="1" x14ac:dyDescent="0.25">
      <c r="H997" s="33"/>
      <c r="I997" s="33"/>
    </row>
    <row r="998" spans="8:9" ht="14.25" customHeight="1" x14ac:dyDescent="0.25">
      <c r="H998" s="33"/>
      <c r="I998" s="33"/>
    </row>
    <row r="999" spans="8:9" ht="14.25" customHeight="1" x14ac:dyDescent="0.25">
      <c r="H999" s="33"/>
      <c r="I999" s="33"/>
    </row>
    <row r="1000" spans="8:9" ht="14.25" customHeight="1" x14ac:dyDescent="0.25">
      <c r="H1000" s="33"/>
      <c r="I100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119A-E172-4824-A80B-C352932E8667}">
  <dimension ref="A1:M1000"/>
  <sheetViews>
    <sheetView tabSelected="1" workbookViewId="0">
      <selection activeCell="P16" sqref="P16"/>
    </sheetView>
  </sheetViews>
  <sheetFormatPr defaultColWidth="14.42578125" defaultRowHeight="15" x14ac:dyDescent="0.25"/>
  <cols>
    <col min="1" max="1" width="15" customWidth="1"/>
    <col min="2" max="2" width="73.42578125" customWidth="1"/>
    <col min="3" max="3" width="9.85546875" customWidth="1"/>
    <col min="4" max="4" width="10.85546875" customWidth="1"/>
    <col min="5" max="5" width="10.140625" customWidth="1"/>
    <col min="6" max="6" width="11.85546875" customWidth="1"/>
    <col min="7" max="7" width="10.140625" customWidth="1"/>
    <col min="8" max="8" width="11.42578125" customWidth="1"/>
    <col min="9" max="9" width="10.5703125" customWidth="1"/>
    <col min="10" max="208" width="8.7109375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6" t="s">
        <v>10</v>
      </c>
      <c r="L1" s="4" t="s">
        <v>11</v>
      </c>
    </row>
    <row r="2" spans="1:13" ht="14.25" customHeight="1" x14ac:dyDescent="0.25">
      <c r="A2" s="7" t="s">
        <v>12</v>
      </c>
      <c r="B2" s="8"/>
      <c r="C2" s="9"/>
      <c r="D2" s="9"/>
      <c r="E2" s="10"/>
      <c r="F2" s="11">
        <f t="shared" ref="F2:J2" si="0">SUM(F17:F206)</f>
        <v>175</v>
      </c>
      <c r="G2" s="12">
        <f t="shared" si="0"/>
        <v>0</v>
      </c>
      <c r="H2" s="13">
        <f t="shared" si="0"/>
        <v>0.64103646254855529</v>
      </c>
      <c r="I2" s="13">
        <f t="shared" si="0"/>
        <v>0.97260521787486898</v>
      </c>
      <c r="J2" s="13">
        <f t="shared" si="0"/>
        <v>-0.33156875532631347</v>
      </c>
      <c r="K2" s="14"/>
      <c r="L2" s="14"/>
    </row>
    <row r="3" spans="1:13" ht="14.25" customHeight="1" x14ac:dyDescent="0.25">
      <c r="A3" s="15" t="str">
        <f>'[2]ALC-Master'!A2</f>
        <v xml:space="preserve">SIWMF Submission </v>
      </c>
      <c r="B3" s="16"/>
      <c r="C3" s="2"/>
      <c r="D3" s="2"/>
      <c r="E3" s="3"/>
      <c r="F3" s="3"/>
      <c r="G3" s="17"/>
      <c r="H3" s="17"/>
      <c r="I3" s="17"/>
      <c r="J3" s="18"/>
      <c r="K3" s="18"/>
      <c r="L3" s="18"/>
    </row>
    <row r="4" spans="1:13" ht="14.25" customHeight="1" x14ac:dyDescent="0.25">
      <c r="A4" s="15"/>
      <c r="B4" s="16"/>
      <c r="C4" s="2"/>
      <c r="D4" s="2"/>
      <c r="E4" s="3"/>
      <c r="F4" s="3"/>
      <c r="G4" s="17"/>
      <c r="H4" s="17"/>
      <c r="I4" s="17"/>
      <c r="J4" s="18"/>
      <c r="K4" s="18"/>
      <c r="L4" s="18"/>
    </row>
    <row r="5" spans="1:13" ht="14.25" customHeight="1" x14ac:dyDescent="0.25">
      <c r="A5" s="15"/>
      <c r="B5" s="16"/>
      <c r="C5" s="2"/>
      <c r="D5" s="2"/>
      <c r="E5" s="3"/>
      <c r="F5" s="3"/>
      <c r="G5" s="17"/>
      <c r="H5" s="17"/>
      <c r="I5" s="17"/>
      <c r="J5" s="18"/>
      <c r="K5" s="18"/>
      <c r="L5" s="18"/>
    </row>
    <row r="6" spans="1:13" ht="14.25" customHeight="1" x14ac:dyDescent="0.25">
      <c r="A6" s="15"/>
      <c r="B6" s="16"/>
      <c r="C6" s="2"/>
      <c r="D6" s="2"/>
      <c r="E6" s="3"/>
      <c r="F6" s="3"/>
      <c r="G6" s="18"/>
      <c r="H6" s="17"/>
      <c r="I6" s="17"/>
      <c r="J6" s="18"/>
      <c r="K6" s="18"/>
      <c r="L6" s="18"/>
    </row>
    <row r="7" spans="1:13" ht="14.25" customHeight="1" x14ac:dyDescent="0.25">
      <c r="A7" s="19">
        <f>'[2]ALC-Master'!A7</f>
        <v>0</v>
      </c>
      <c r="B7" s="19" t="str">
        <f>'[2]ALC-Master'!C7</f>
        <v>SIWMF Baseline</v>
      </c>
      <c r="C7" s="20"/>
      <c r="D7" s="21"/>
      <c r="E7" s="22"/>
      <c r="F7" s="23"/>
      <c r="G7" s="23"/>
      <c r="H7" s="17"/>
      <c r="I7" s="17"/>
      <c r="J7" s="17"/>
      <c r="K7" s="18"/>
      <c r="L7" s="18"/>
      <c r="M7" s="24"/>
    </row>
    <row r="8" spans="1:13" ht="14.25" customHeight="1" x14ac:dyDescent="0.25">
      <c r="A8" s="25" t="str">
        <f>'[2]ALC-Master'!A8</f>
        <v>A1000</v>
      </c>
      <c r="B8" s="25" t="str">
        <f>'[2]ALC-Master'!C8</f>
        <v>Contract Award</v>
      </c>
      <c r="C8" s="20">
        <f>[2]ALC!G8</f>
        <v>1.4730002366730718E-4</v>
      </c>
      <c r="D8" s="21">
        <f>[2]ALC!D8</f>
        <v>44264</v>
      </c>
      <c r="E8" s="22">
        <f>[2]ALC!E8</f>
        <v>44264</v>
      </c>
      <c r="F8" s="23">
        <v>1</v>
      </c>
      <c r="G8" s="23" t="str">
        <f t="shared" ref="G8:G15" si="1">K8</f>
        <v>100%</v>
      </c>
      <c r="H8" s="17">
        <f t="shared" ref="H8:H15" si="2">(G8/F8)*C8</f>
        <v>1.4730002366730718E-4</v>
      </c>
      <c r="I8" s="17">
        <v>1.4730002366730718E-4</v>
      </c>
      <c r="J8" s="17">
        <f t="shared" ref="J8:J15" si="3">H8-I8</f>
        <v>0</v>
      </c>
      <c r="K8" s="26" t="str">
        <f>VLOOKUP(A8,'[2]MS Progress'!$A:$Q,6,FALSE)</f>
        <v>100%</v>
      </c>
      <c r="L8" s="18"/>
      <c r="M8" s="24"/>
    </row>
    <row r="9" spans="1:13" ht="14.25" customHeight="1" x14ac:dyDescent="0.25">
      <c r="A9" s="25" t="str">
        <f>'[2]ALC-Master'!A9</f>
        <v>A1020.14</v>
      </c>
      <c r="B9" s="25" t="str">
        <f>'[2]ALC-Master'!C9</f>
        <v>Detailed Design for weighbridge MD2/AD2 Review and Acceptance by SO</v>
      </c>
      <c r="C9" s="20">
        <f>[2]ALC!G9</f>
        <v>0</v>
      </c>
      <c r="D9" s="21">
        <f>[2]ALC!D9</f>
        <v>44582</v>
      </c>
      <c r="E9" s="22">
        <f>[2]ALC!E9</f>
        <v>44582</v>
      </c>
      <c r="F9" s="23">
        <v>1</v>
      </c>
      <c r="G9" s="23" t="str">
        <f t="shared" si="1"/>
        <v>100%</v>
      </c>
      <c r="H9" s="17">
        <f t="shared" si="2"/>
        <v>0</v>
      </c>
      <c r="I9" s="17">
        <v>0</v>
      </c>
      <c r="J9" s="17">
        <f t="shared" si="3"/>
        <v>0</v>
      </c>
      <c r="K9" s="26" t="str">
        <f>VLOOKUP(A9,'[2]MS Progress'!$A:$Q,6,FALSE)</f>
        <v>100%</v>
      </c>
      <c r="L9" s="18"/>
    </row>
    <row r="10" spans="1:13" ht="14.25" customHeight="1" x14ac:dyDescent="0.25">
      <c r="A10" s="25" t="str">
        <f>'[2]ALC-Master'!A10</f>
        <v>A1070.F.05</v>
      </c>
      <c r="B10" s="25" t="str">
        <f>'[2]ALC-Master'!C10</f>
        <v>Successful Completion of Factory acceptance Test(FAT)</v>
      </c>
      <c r="C10" s="20">
        <f>[2]ALC!G10</f>
        <v>0</v>
      </c>
      <c r="D10" s="21">
        <f>[2]ALC!D10</f>
        <v>45223</v>
      </c>
      <c r="E10" s="22">
        <f>[2]ALC!E10</f>
        <v>45223</v>
      </c>
      <c r="F10" s="23">
        <v>1</v>
      </c>
      <c r="G10" s="23" t="str">
        <f t="shared" si="1"/>
        <v>0%</v>
      </c>
      <c r="H10" s="17">
        <f t="shared" si="2"/>
        <v>0</v>
      </c>
      <c r="I10" s="17">
        <v>0</v>
      </c>
      <c r="J10" s="17">
        <f t="shared" si="3"/>
        <v>0</v>
      </c>
      <c r="K10" s="26" t="str">
        <f>VLOOKUP(A10,'[2]MS Progress'!$A:$Q,6,FALSE)</f>
        <v>0%</v>
      </c>
      <c r="L10" s="18"/>
    </row>
    <row r="11" spans="1:13" ht="14.25" customHeight="1" x14ac:dyDescent="0.25">
      <c r="A11" s="25" t="str">
        <f>'[2]ALC-Master'!A11</f>
        <v>A1080.D.06</v>
      </c>
      <c r="B11" s="25" t="str">
        <f>'[2]ALC-Master'!C11</f>
        <v>Time for Delivery of Weighbridge System</v>
      </c>
      <c r="C11" s="20">
        <f>[2]ALC!G11</f>
        <v>0</v>
      </c>
      <c r="D11" s="21">
        <f>[2]ALC!D11</f>
        <v>45293</v>
      </c>
      <c r="E11" s="22">
        <f>[2]ALC!E11</f>
        <v>45293</v>
      </c>
      <c r="F11" s="23">
        <v>1</v>
      </c>
      <c r="G11" s="23" t="str">
        <f t="shared" si="1"/>
        <v>0%</v>
      </c>
      <c r="H11" s="17">
        <f t="shared" si="2"/>
        <v>0</v>
      </c>
      <c r="I11" s="17">
        <v>0</v>
      </c>
      <c r="J11" s="17">
        <f t="shared" si="3"/>
        <v>0</v>
      </c>
      <c r="K11" s="26" t="str">
        <f>VLOOKUP(A11,'[2]MS Progress'!$A:$Q,6,FALSE)</f>
        <v>0%</v>
      </c>
      <c r="L11" s="18"/>
    </row>
    <row r="12" spans="1:13" ht="14.25" customHeight="1" x14ac:dyDescent="0.25">
      <c r="A12" s="25" t="str">
        <f>'[2]ALC-Master'!A12</f>
        <v>A1090.I.22</v>
      </c>
      <c r="B12" s="25" t="str">
        <f>'[2]ALC-Master'!C12</f>
        <v>Completion of Weighbridge Mechanical , EIAC and Zonal Detection System</v>
      </c>
      <c r="C12" s="20">
        <f>[2]ALC!G12</f>
        <v>0</v>
      </c>
      <c r="D12" s="21">
        <f>[2]ALC!D12</f>
        <v>45427</v>
      </c>
      <c r="E12" s="22">
        <f>[2]ALC!E12</f>
        <v>45427</v>
      </c>
      <c r="F12" s="23">
        <v>1</v>
      </c>
      <c r="G12" s="23" t="str">
        <f t="shared" si="1"/>
        <v>0%</v>
      </c>
      <c r="H12" s="17">
        <f t="shared" si="2"/>
        <v>0</v>
      </c>
      <c r="I12" s="17">
        <v>0</v>
      </c>
      <c r="J12" s="17">
        <f t="shared" si="3"/>
        <v>0</v>
      </c>
      <c r="K12" s="26" t="str">
        <f>VLOOKUP(A12,'[2]MS Progress'!$A:$Q,6,FALSE)</f>
        <v>0%</v>
      </c>
      <c r="L12" s="18"/>
    </row>
    <row r="13" spans="1:13" ht="14.25" customHeight="1" x14ac:dyDescent="0.25">
      <c r="A13" s="25" t="str">
        <f>'[2]ALC-Master'!A13</f>
        <v>A1110.S.04</v>
      </c>
      <c r="B13" s="25" t="str">
        <f>'[2]ALC-Master'!C13</f>
        <v>Successful SAT of Weighbridge system</v>
      </c>
      <c r="C13" s="20">
        <f>[2]ALC!G13</f>
        <v>0</v>
      </c>
      <c r="D13" s="21">
        <f>[2]ALC!D13</f>
        <v>45504</v>
      </c>
      <c r="E13" s="22">
        <f>[2]ALC!E13</f>
        <v>45504</v>
      </c>
      <c r="F13" s="23">
        <v>1</v>
      </c>
      <c r="G13" s="23" t="str">
        <f t="shared" si="1"/>
        <v>0%</v>
      </c>
      <c r="H13" s="17">
        <f t="shared" si="2"/>
        <v>0</v>
      </c>
      <c r="I13" s="18">
        <v>0</v>
      </c>
      <c r="J13" s="17">
        <f t="shared" si="3"/>
        <v>0</v>
      </c>
      <c r="K13" s="26" t="str">
        <f>VLOOKUP(A13,'[2]MS Progress'!$A:$Q,6,FALSE)</f>
        <v>0%</v>
      </c>
      <c r="L13" s="18"/>
    </row>
    <row r="14" spans="1:13" ht="14.25" customHeight="1" x14ac:dyDescent="0.25">
      <c r="A14" s="25" t="str">
        <f>'[2]ALC-Master'!A14</f>
        <v>A1130.15</v>
      </c>
      <c r="B14" s="25" t="str">
        <f>'[2]ALC-Master'!C14</f>
        <v>Successful Completion of Trial Operation</v>
      </c>
      <c r="C14" s="20">
        <f>[2]ALC!G14</f>
        <v>0</v>
      </c>
      <c r="D14" s="21">
        <f>[2]ALC!D14</f>
        <v>45847</v>
      </c>
      <c r="E14" s="22">
        <f>[2]ALC!E14</f>
        <v>45847</v>
      </c>
      <c r="F14" s="23">
        <v>1</v>
      </c>
      <c r="G14" s="23" t="str">
        <f t="shared" si="1"/>
        <v>0%</v>
      </c>
      <c r="H14" s="17">
        <f t="shared" si="2"/>
        <v>0</v>
      </c>
      <c r="I14" s="17">
        <v>0</v>
      </c>
      <c r="J14" s="17">
        <f t="shared" si="3"/>
        <v>0</v>
      </c>
      <c r="K14" s="26" t="str">
        <f>VLOOKUP(A14,'[2]MS Progress'!$A:$Q,6,FALSE)</f>
        <v>0%</v>
      </c>
      <c r="L14" s="18"/>
    </row>
    <row r="15" spans="1:13" ht="14.25" customHeight="1" x14ac:dyDescent="0.25">
      <c r="A15" s="25" t="str">
        <f>'[2]ALC-Master'!A15</f>
        <v>A1160</v>
      </c>
      <c r="B15" s="25" t="str">
        <f>'[2]ALC-Master'!C15</f>
        <v>Completion of the whole of the Sub-Contract Works</v>
      </c>
      <c r="C15" s="20">
        <f>[2]ALC!G15</f>
        <v>0</v>
      </c>
      <c r="D15" s="21">
        <f>[2]ALC!D15</f>
        <v>45937</v>
      </c>
      <c r="E15" s="22">
        <f>[2]ALC!E15</f>
        <v>45937</v>
      </c>
      <c r="F15" s="23">
        <v>1</v>
      </c>
      <c r="G15" s="23" t="str">
        <f t="shared" si="1"/>
        <v>0%</v>
      </c>
      <c r="H15" s="17">
        <f t="shared" si="2"/>
        <v>0</v>
      </c>
      <c r="I15" s="17">
        <v>0</v>
      </c>
      <c r="J15" s="17">
        <f t="shared" si="3"/>
        <v>0</v>
      </c>
      <c r="K15" s="26" t="str">
        <f>VLOOKUP(A15,'[2]MS Progress'!$A:$Q,6,FALSE)</f>
        <v>0%</v>
      </c>
      <c r="L15" s="18"/>
    </row>
    <row r="16" spans="1:13" ht="14.25" customHeight="1" x14ac:dyDescent="0.25">
      <c r="A16" s="19">
        <f>'[2]ALC-Master'!A16</f>
        <v>0</v>
      </c>
      <c r="B16" s="19" t="str">
        <f>'[2]ALC-Master'!C16</f>
        <v>Process Engineering (Detailed Design Milestone)</v>
      </c>
      <c r="C16" s="27"/>
      <c r="D16" s="28"/>
      <c r="E16" s="29"/>
      <c r="F16" s="30"/>
      <c r="G16" s="30"/>
      <c r="H16" s="31"/>
      <c r="I16" s="31"/>
      <c r="J16" s="31"/>
      <c r="K16" s="32"/>
      <c r="L16" s="32"/>
    </row>
    <row r="17" spans="1:12" ht="14.25" customHeight="1" x14ac:dyDescent="0.25">
      <c r="A17" s="25" t="str">
        <f>'[2]ALC-Master'!A17</f>
        <v>A1010</v>
      </c>
      <c r="B17" s="25" t="str">
        <f>'[2]ALC-Master'!C17</f>
        <v>MD1 AD1 Preparation, Submission, Review &amp; Acceptance</v>
      </c>
      <c r="C17" s="20">
        <f>[2]ALC!G17</f>
        <v>1.7659452275619858E-3</v>
      </c>
      <c r="D17" s="21">
        <f>[2]ALC!D17</f>
        <v>44274</v>
      </c>
      <c r="E17" s="22">
        <f>[2]ALC!E17</f>
        <v>44289</v>
      </c>
      <c r="F17" s="23">
        <v>1</v>
      </c>
      <c r="G17" s="23" t="str">
        <f>K17</f>
        <v>100%</v>
      </c>
      <c r="H17" s="17">
        <f>(G17/F17)*C17</f>
        <v>1.7659452275619858E-3</v>
      </c>
      <c r="I17" s="17">
        <v>1.7659452275619858E-3</v>
      </c>
      <c r="J17" s="17">
        <f>H17-I17</f>
        <v>0</v>
      </c>
      <c r="K17" s="26" t="str">
        <f>VLOOKUP(A17,'[2]MS Progress'!$A:$Q,6,FALSE)</f>
        <v>100%</v>
      </c>
      <c r="L17" s="18"/>
    </row>
    <row r="18" spans="1:12" ht="14.25" customHeight="1" x14ac:dyDescent="0.25">
      <c r="A18" s="25" t="str">
        <f>'[2]ALC-Master'!A18</f>
        <v>A1020</v>
      </c>
      <c r="B18" s="25" t="str">
        <f>'[2]ALC-Master'!C18</f>
        <v>MD2 ED1 AD2 Preparation, Submission, Review &amp; Acceptance</v>
      </c>
      <c r="C18" s="20"/>
      <c r="D18" s="21"/>
      <c r="E18" s="22"/>
      <c r="F18" s="23"/>
      <c r="G18" s="23"/>
      <c r="H18" s="17"/>
      <c r="I18" s="17"/>
      <c r="J18" s="17"/>
      <c r="K18" s="18"/>
      <c r="L18" s="18"/>
    </row>
    <row r="19" spans="1:12" ht="14.25" customHeight="1" x14ac:dyDescent="0.25">
      <c r="A19" s="25" t="str">
        <f>'[2]ALC-Master'!A19</f>
        <v>A1020.1</v>
      </c>
      <c r="B19" s="25" t="str">
        <f>'[2]ALC-Master'!C19</f>
        <v>MD2 Weighbridge System Package (Rev 0a) Preparation by ALC</v>
      </c>
      <c r="C19" s="20">
        <f>[2]ALC!G19</f>
        <v>9.415616119587758E-3</v>
      </c>
      <c r="D19" s="21">
        <f>[2]ALC!D19</f>
        <v>44293</v>
      </c>
      <c r="E19" s="22">
        <f>[2]ALC!E19</f>
        <v>44363</v>
      </c>
      <c r="F19" s="23">
        <v>1</v>
      </c>
      <c r="G19" s="23" t="str">
        <f t="shared" ref="G19:G47" si="4">K19</f>
        <v>100%</v>
      </c>
      <c r="H19" s="17">
        <f t="shared" ref="H19:H47" si="5">(G19/F19)*C19</f>
        <v>9.415616119587758E-3</v>
      </c>
      <c r="I19" s="17">
        <v>9.415616119587758E-3</v>
      </c>
      <c r="J19" s="17">
        <f t="shared" ref="J19:J47" si="6">H19-I19</f>
        <v>0</v>
      </c>
      <c r="K19" s="26" t="str">
        <f>VLOOKUP(A19,'[2]MS Progress'!$A:$Q,6,FALSE)</f>
        <v>100%</v>
      </c>
      <c r="L19" s="18"/>
    </row>
    <row r="20" spans="1:12" ht="14.25" customHeight="1" x14ac:dyDescent="0.25">
      <c r="A20" s="25" t="str">
        <f>'[2]ALC-Master'!A20</f>
        <v>A1020.2</v>
      </c>
      <c r="B20" s="25" t="str">
        <f>'[2]ALC-Master'!C20</f>
        <v>MD2 Weighbridge System Package (Rev 0a) Submission to KSPL</v>
      </c>
      <c r="C20" s="20">
        <f>[2]ALC!G20</f>
        <v>1.6550564457000805E-4</v>
      </c>
      <c r="D20" s="21">
        <f>[2]ALC!D20</f>
        <v>44364</v>
      </c>
      <c r="E20" s="22">
        <f>[2]ALC!E20</f>
        <v>44364</v>
      </c>
      <c r="F20" s="23">
        <v>1</v>
      </c>
      <c r="G20" s="23" t="str">
        <f t="shared" si="4"/>
        <v>100%</v>
      </c>
      <c r="H20" s="17">
        <f t="shared" si="5"/>
        <v>1.6550564457000805E-4</v>
      </c>
      <c r="I20" s="17">
        <v>1.6550564457000805E-4</v>
      </c>
      <c r="J20" s="17">
        <f t="shared" si="6"/>
        <v>0</v>
      </c>
      <c r="K20" s="26" t="str">
        <f>VLOOKUP(A20,'[2]MS Progress'!$A:$Q,6,FALSE)</f>
        <v>100%</v>
      </c>
      <c r="L20" s="18"/>
    </row>
    <row r="21" spans="1:12" ht="14.25" customHeight="1" x14ac:dyDescent="0.25">
      <c r="A21" s="25" t="str">
        <f>'[2]ALC-Master'!A21</f>
        <v>A1020.3</v>
      </c>
      <c r="B21" s="25" t="str">
        <f>'[2]ALC-Master'!C21</f>
        <v>MD2 Weighbridge System Package (Rev 0a) Review (1st Round)</v>
      </c>
      <c r="C21" s="20">
        <f>[2]ALC!G21</f>
        <v>1.1585395119900564E-3</v>
      </c>
      <c r="D21" s="21">
        <f>[2]ALC!D21</f>
        <v>44365</v>
      </c>
      <c r="E21" s="22">
        <f>[2]ALC!E21</f>
        <v>44372</v>
      </c>
      <c r="F21" s="23">
        <v>1</v>
      </c>
      <c r="G21" s="23" t="str">
        <f t="shared" si="4"/>
        <v>100%</v>
      </c>
      <c r="H21" s="17">
        <f t="shared" si="5"/>
        <v>1.1585395119900564E-3</v>
      </c>
      <c r="I21" s="17">
        <v>1.1585395119900564E-3</v>
      </c>
      <c r="J21" s="17">
        <f t="shared" si="6"/>
        <v>0</v>
      </c>
      <c r="K21" s="26" t="str">
        <f>VLOOKUP(A21,'[2]MS Progress'!$A:$Q,6,FALSE)</f>
        <v>100%</v>
      </c>
      <c r="L21" s="23"/>
    </row>
    <row r="22" spans="1:12" ht="14.25" customHeight="1" x14ac:dyDescent="0.25">
      <c r="A22" s="25" t="str">
        <f>'[2]ALC-Master'!A22</f>
        <v>A1020.4</v>
      </c>
      <c r="B22" s="25" t="str">
        <f>'[2]ALC-Master'!C22</f>
        <v>MD2 Weighbridge System Package (Rev 0a) ALC Ammendment (1st Round)</v>
      </c>
      <c r="C22" s="20">
        <f>[2]ALC!G22</f>
        <v>3.4938241568728701E-3</v>
      </c>
      <c r="D22" s="21">
        <f>[2]ALC!D22</f>
        <v>44373</v>
      </c>
      <c r="E22" s="22">
        <f>[2]ALC!E22</f>
        <v>44398</v>
      </c>
      <c r="F22" s="23">
        <v>1</v>
      </c>
      <c r="G22" s="23" t="str">
        <f t="shared" si="4"/>
        <v>100%</v>
      </c>
      <c r="H22" s="17">
        <f t="shared" si="5"/>
        <v>3.4938241568728701E-3</v>
      </c>
      <c r="I22" s="17">
        <v>3.4938241568728701E-3</v>
      </c>
      <c r="J22" s="17">
        <f t="shared" si="6"/>
        <v>0</v>
      </c>
      <c r="K22" s="26" t="str">
        <f>VLOOKUP(A22,'[2]MS Progress'!$A:$Q,6,FALSE)</f>
        <v>100%</v>
      </c>
      <c r="L22" s="18"/>
    </row>
    <row r="23" spans="1:12" ht="14.25" customHeight="1" x14ac:dyDescent="0.25">
      <c r="A23" s="25" t="str">
        <f>'[2]ALC-Master'!A23</f>
        <v>A1020.5</v>
      </c>
      <c r="B23" s="25" t="str">
        <f>'[2]ALC-Master'!C23</f>
        <v>MD2 Weighbridge System Package (Rev 0b) Review (2nd Round)</v>
      </c>
      <c r="C23" s="20">
        <f>[2]ALC!G23</f>
        <v>5.14722554612725E-4</v>
      </c>
      <c r="D23" s="21">
        <f>[2]ALC!D23</f>
        <v>44399</v>
      </c>
      <c r="E23" s="22">
        <f>[2]ALC!E23</f>
        <v>44403</v>
      </c>
      <c r="F23" s="23">
        <v>1</v>
      </c>
      <c r="G23" s="23" t="str">
        <f t="shared" si="4"/>
        <v>100%</v>
      </c>
      <c r="H23" s="17">
        <f t="shared" si="5"/>
        <v>5.14722554612725E-4</v>
      </c>
      <c r="I23" s="17">
        <v>5.14722554612725E-4</v>
      </c>
      <c r="J23" s="17">
        <f t="shared" si="6"/>
        <v>0</v>
      </c>
      <c r="K23" s="26" t="str">
        <f>VLOOKUP(A23,'[2]MS Progress'!$A:$Q,6,FALSE)</f>
        <v>100%</v>
      </c>
      <c r="L23" s="18"/>
    </row>
    <row r="24" spans="1:12" ht="14.25" customHeight="1" x14ac:dyDescent="0.25">
      <c r="A24" s="25" t="str">
        <f>'[2]ALC-Master'!A24</f>
        <v>A1020.6</v>
      </c>
      <c r="B24" s="25" t="str">
        <f>'[2]ALC-Master'!C24</f>
        <v>MD2 Weighbridge System Package (Rev 0b) ALC Ammendment (2nd Round)</v>
      </c>
      <c r="C24" s="20">
        <f>[2]ALC!G24</f>
        <v>1.8371126547270895E-4</v>
      </c>
      <c r="D24" s="21">
        <f>[2]ALC!D24</f>
        <v>44405</v>
      </c>
      <c r="E24" s="22">
        <f>[2]ALC!E24</f>
        <v>44406</v>
      </c>
      <c r="F24" s="23">
        <v>1</v>
      </c>
      <c r="G24" s="23" t="str">
        <f t="shared" si="4"/>
        <v>100%</v>
      </c>
      <c r="H24" s="17">
        <f t="shared" si="5"/>
        <v>1.8371126547270895E-4</v>
      </c>
      <c r="I24" s="17">
        <v>1.8371126547270895E-4</v>
      </c>
      <c r="J24" s="17">
        <f t="shared" si="6"/>
        <v>0</v>
      </c>
      <c r="K24" s="26" t="str">
        <f>VLOOKUP(A24,'[2]MS Progress'!$A:$Q,6,FALSE)</f>
        <v>100%</v>
      </c>
      <c r="L24" s="18"/>
    </row>
    <row r="25" spans="1:12" ht="14.25" customHeight="1" x14ac:dyDescent="0.25">
      <c r="A25" s="25" t="str">
        <f>'[2]ALC-Master'!A25</f>
        <v>A1020.7</v>
      </c>
      <c r="B25" s="25" t="str">
        <f>'[2]ALC-Master'!C25</f>
        <v>MD2 Weighbridge System Package (Rev 0) Review by SO/ NEA</v>
      </c>
      <c r="C25" s="20">
        <f>[2]ALC!G25</f>
        <v>1.3240451565600644E-3</v>
      </c>
      <c r="D25" s="21">
        <f>[2]ALC!D25</f>
        <v>44407</v>
      </c>
      <c r="E25" s="22">
        <f>[2]ALC!E25</f>
        <v>44416</v>
      </c>
      <c r="F25" s="23">
        <v>1</v>
      </c>
      <c r="G25" s="23" t="str">
        <f t="shared" si="4"/>
        <v>100%</v>
      </c>
      <c r="H25" s="17">
        <f t="shared" si="5"/>
        <v>1.3240451565600644E-3</v>
      </c>
      <c r="I25" s="17">
        <v>1.3240451565600644E-3</v>
      </c>
      <c r="J25" s="17">
        <f t="shared" si="6"/>
        <v>0</v>
      </c>
      <c r="K25" s="26" t="str">
        <f>VLOOKUP(A25,'[2]MS Progress'!$A:$Q,6,FALSE)</f>
        <v>100%</v>
      </c>
      <c r="L25" s="18"/>
    </row>
    <row r="26" spans="1:12" ht="14.25" customHeight="1" x14ac:dyDescent="0.25">
      <c r="A26" s="25" t="str">
        <f>'[2]ALC-Master'!A26</f>
        <v>A1020.1</v>
      </c>
      <c r="B26" s="25" t="str">
        <f>'[2]ALC-Master'!C26</f>
        <v>ED1 AD2 Weighbridge System Package (Rev 0a) Preparation by ALC</v>
      </c>
      <c r="C26" s="20">
        <f>[2]ALC!G26</f>
        <v>1.0574155631577814E-2</v>
      </c>
      <c r="D26" s="21">
        <f>[2]ALC!D26</f>
        <v>44293</v>
      </c>
      <c r="E26" s="22">
        <f>[2]ALC!E26</f>
        <v>44371</v>
      </c>
      <c r="F26" s="23">
        <v>1</v>
      </c>
      <c r="G26" s="23" t="str">
        <f t="shared" si="4"/>
        <v>100%</v>
      </c>
      <c r="H26" s="17">
        <f t="shared" si="5"/>
        <v>1.0574155631577814E-2</v>
      </c>
      <c r="I26" s="17">
        <v>1.0574155631577814E-2</v>
      </c>
      <c r="J26" s="17">
        <f t="shared" si="6"/>
        <v>0</v>
      </c>
      <c r="K26" s="26" t="str">
        <f>VLOOKUP(A26,'[2]MS Progress'!$A:$Q,6,FALSE)</f>
        <v>100%</v>
      </c>
      <c r="L26" s="18"/>
    </row>
    <row r="27" spans="1:12" ht="14.25" customHeight="1" x14ac:dyDescent="0.25">
      <c r="A27" s="25" t="str">
        <f>'[2]ALC-Master'!A27</f>
        <v>A1020.2</v>
      </c>
      <c r="B27" s="25" t="str">
        <f>'[2]ALC-Master'!C27</f>
        <v>ED1 AD2 Weighbridge System Package (Rev 0a) Submission to KSPL</v>
      </c>
      <c r="C27" s="20">
        <f>[2]ALC!G27</f>
        <v>1.6550564457000805E-4</v>
      </c>
      <c r="D27" s="21">
        <f>[2]ALC!D27</f>
        <v>44372</v>
      </c>
      <c r="E27" s="22">
        <f>[2]ALC!E27</f>
        <v>44372</v>
      </c>
      <c r="F27" s="23">
        <v>1</v>
      </c>
      <c r="G27" s="23" t="str">
        <f t="shared" si="4"/>
        <v>100%</v>
      </c>
      <c r="H27" s="17">
        <f t="shared" si="5"/>
        <v>1.6550564457000805E-4</v>
      </c>
      <c r="I27" s="17">
        <v>1.6550564457000805E-4</v>
      </c>
      <c r="J27" s="17">
        <f t="shared" si="6"/>
        <v>0</v>
      </c>
      <c r="K27" s="26" t="str">
        <f>VLOOKUP(A27,'[2]MS Progress'!$A:$Q,6,FALSE)</f>
        <v>100%</v>
      </c>
      <c r="L27" s="18"/>
    </row>
    <row r="28" spans="1:12" ht="14.25" customHeight="1" x14ac:dyDescent="0.25">
      <c r="A28" s="25" t="str">
        <f>'[2]ALC-Master'!A28</f>
        <v>A1020.3</v>
      </c>
      <c r="B28" s="25" t="str">
        <f>'[2]ALC-Master'!C28</f>
        <v>ED1 AD2 Weighbridge System Package (Rev 0a) Review (1st Round)</v>
      </c>
      <c r="C28" s="20">
        <f>[2]ALC!G28</f>
        <v>1.0112394883227494E-3</v>
      </c>
      <c r="D28" s="21">
        <f>[2]ALC!D28</f>
        <v>44372</v>
      </c>
      <c r="E28" s="22">
        <f>[2]ALC!E28</f>
        <v>44379</v>
      </c>
      <c r="F28" s="23">
        <v>1</v>
      </c>
      <c r="G28" s="23" t="str">
        <f t="shared" si="4"/>
        <v>100%</v>
      </c>
      <c r="H28" s="17">
        <f t="shared" si="5"/>
        <v>1.0112394883227494E-3</v>
      </c>
      <c r="I28" s="17">
        <v>1.0112394883227494E-3</v>
      </c>
      <c r="J28" s="17">
        <f t="shared" si="6"/>
        <v>0</v>
      </c>
      <c r="K28" s="26" t="str">
        <f>VLOOKUP(A28,'[2]MS Progress'!$A:$Q,6,FALSE)</f>
        <v>100%</v>
      </c>
      <c r="L28" s="18"/>
    </row>
    <row r="29" spans="1:12" ht="14.25" customHeight="1" x14ac:dyDescent="0.25">
      <c r="A29" s="25" t="str">
        <f>'[2]ALC-Master'!A29</f>
        <v>A1020.4</v>
      </c>
      <c r="B29" s="25" t="str">
        <f>'[2]ALC-Master'!C29</f>
        <v>ED1 AD2 Weighbridge System Package (Rev 0a) ALC Ammendment (1st Round)</v>
      </c>
      <c r="C29" s="20">
        <f>[2]ALC!G29</f>
        <v>1.9678621139373959E-3</v>
      </c>
      <c r="D29" s="21">
        <f>[2]ALC!D29</f>
        <v>44380</v>
      </c>
      <c r="E29" s="22">
        <f>[2]ALC!E29</f>
        <v>44393</v>
      </c>
      <c r="F29" s="23">
        <v>1</v>
      </c>
      <c r="G29" s="23" t="str">
        <f t="shared" si="4"/>
        <v>100%</v>
      </c>
      <c r="H29" s="17">
        <f t="shared" si="5"/>
        <v>1.9678621139373959E-3</v>
      </c>
      <c r="I29" s="17">
        <v>1.9678621139373959E-3</v>
      </c>
      <c r="J29" s="17">
        <f t="shared" si="6"/>
        <v>0</v>
      </c>
      <c r="K29" s="26" t="str">
        <f>VLOOKUP(A29,'[2]MS Progress'!$A:$Q,6,FALSE)</f>
        <v>100%</v>
      </c>
      <c r="L29" s="18"/>
    </row>
    <row r="30" spans="1:12" ht="14.25" customHeight="1" x14ac:dyDescent="0.25">
      <c r="A30" s="25" t="str">
        <f>'[2]ALC-Master'!A30</f>
        <v>A1020.5</v>
      </c>
      <c r="B30" s="25" t="str">
        <f>'[2]ALC-Master'!C30</f>
        <v>ED1 AD2 Weighbridge System Package (Rev 0b) Review (2nd Round)</v>
      </c>
      <c r="C30" s="20">
        <f>[2]ALC!G30</f>
        <v>1.3240451565600644E-3</v>
      </c>
      <c r="D30" s="21">
        <f>[2]ALC!D30</f>
        <v>44394</v>
      </c>
      <c r="E30" s="22">
        <f>[2]ALC!E30</f>
        <v>44403</v>
      </c>
      <c r="F30" s="23">
        <v>1</v>
      </c>
      <c r="G30" s="23" t="str">
        <f t="shared" si="4"/>
        <v>100%</v>
      </c>
      <c r="H30" s="17">
        <f t="shared" si="5"/>
        <v>1.3240451565600644E-3</v>
      </c>
      <c r="I30" s="17">
        <v>1.3240451565600644E-3</v>
      </c>
      <c r="J30" s="17">
        <f t="shared" si="6"/>
        <v>0</v>
      </c>
      <c r="K30" s="26" t="str">
        <f>VLOOKUP(A30,'[2]MS Progress'!$A:$Q,6,FALSE)</f>
        <v>100%</v>
      </c>
      <c r="L30" s="18"/>
    </row>
    <row r="31" spans="1:12" ht="14.25" customHeight="1" x14ac:dyDescent="0.25">
      <c r="A31" s="25" t="str">
        <f>'[2]ALC-Master'!A31</f>
        <v>A1020.6</v>
      </c>
      <c r="B31" s="25" t="str">
        <f>'[2]ALC-Master'!C31</f>
        <v>ED1 AD2 Weighbridge System Package (Rev 0b) ALC Ammendment (2nd Round)</v>
      </c>
      <c r="C31" s="20">
        <f>[2]ALC!G31</f>
        <v>6.6202257828003222E-4</v>
      </c>
      <c r="D31" s="21">
        <f>[2]ALC!D31</f>
        <v>44404</v>
      </c>
      <c r="E31" s="22">
        <f>[2]ALC!E31</f>
        <v>44407</v>
      </c>
      <c r="F31" s="23">
        <v>1</v>
      </c>
      <c r="G31" s="23" t="str">
        <f t="shared" si="4"/>
        <v>100%</v>
      </c>
      <c r="H31" s="17">
        <f t="shared" si="5"/>
        <v>6.6202257828003222E-4</v>
      </c>
      <c r="I31" s="17">
        <v>6.6202257828003222E-4</v>
      </c>
      <c r="J31" s="17">
        <f t="shared" si="6"/>
        <v>0</v>
      </c>
      <c r="K31" s="26" t="str">
        <f>VLOOKUP(A31,'[2]MS Progress'!$A:$Q,6,FALSE)</f>
        <v>100%</v>
      </c>
      <c r="L31" s="18"/>
    </row>
    <row r="32" spans="1:12" ht="14.25" customHeight="1" x14ac:dyDescent="0.25">
      <c r="A32" s="25" t="str">
        <f>'[2]ALC-Master'!A32</f>
        <v>A1020.7</v>
      </c>
      <c r="B32" s="25" t="str">
        <f>'[2]ALC-Master'!C32</f>
        <v>ED1 AD2 Weighbridge System Package (Rev 0) Review by SO/ NEA</v>
      </c>
      <c r="C32" s="20">
        <f>[2]ALC!G32</f>
        <v>3.3101128914001612E-3</v>
      </c>
      <c r="D32" s="21">
        <f>[2]ALC!D32</f>
        <v>44412</v>
      </c>
      <c r="E32" s="22">
        <f>[2]ALC!E32</f>
        <v>44435</v>
      </c>
      <c r="F32" s="23">
        <v>1</v>
      </c>
      <c r="G32" s="23" t="str">
        <f t="shared" si="4"/>
        <v>100%</v>
      </c>
      <c r="H32" s="17">
        <f t="shared" si="5"/>
        <v>3.3101128914001612E-3</v>
      </c>
      <c r="I32" s="17">
        <v>3.3101128914001612E-3</v>
      </c>
      <c r="J32" s="17">
        <f t="shared" si="6"/>
        <v>0</v>
      </c>
      <c r="K32" s="26" t="str">
        <f>VLOOKUP(A32,'[2]MS Progress'!$A:$Q,6,FALSE)</f>
        <v>100%</v>
      </c>
      <c r="L32" s="18"/>
    </row>
    <row r="33" spans="1:12" ht="14.25" customHeight="1" x14ac:dyDescent="0.25">
      <c r="A33" s="25" t="str">
        <f>'[2]ALC-Master'!A33</f>
        <v>A1020.8</v>
      </c>
      <c r="B33" s="25" t="str">
        <f>'[2]ALC-Master'!C33</f>
        <v>MD2 Weighbridge System Package (Rev 1a) Ammendment by ALC on SO Comments and Re-submission to KSPL</v>
      </c>
      <c r="C33" s="20">
        <f>[2]ALC!G33</f>
        <v>4.7996636925302337E-3</v>
      </c>
      <c r="D33" s="21">
        <f>[2]ALC!D33</f>
        <v>44436</v>
      </c>
      <c r="E33" s="22">
        <f>[2]ALC!E33</f>
        <v>44469</v>
      </c>
      <c r="F33" s="23">
        <v>1</v>
      </c>
      <c r="G33" s="23" t="str">
        <f t="shared" si="4"/>
        <v>100%</v>
      </c>
      <c r="H33" s="17">
        <f t="shared" si="5"/>
        <v>4.7996636925302337E-3</v>
      </c>
      <c r="I33" s="17">
        <v>4.7996636925302337E-3</v>
      </c>
      <c r="J33" s="17">
        <f t="shared" si="6"/>
        <v>0</v>
      </c>
      <c r="K33" s="26" t="str">
        <f>VLOOKUP(A33,'[2]MS Progress'!$A:$Q,6,FALSE)</f>
        <v>100%</v>
      </c>
      <c r="L33" s="18"/>
    </row>
    <row r="34" spans="1:12" ht="14.25" customHeight="1" x14ac:dyDescent="0.25">
      <c r="A34" s="25" t="str">
        <f>'[2]ALC-Master'!A34</f>
        <v>A1020.9</v>
      </c>
      <c r="B34" s="25" t="str">
        <f>'[2]ALC-Master'!C34</f>
        <v>MD2 Weighbridge System Package (Rev 1a) Review (1st Round)</v>
      </c>
      <c r="C34" s="20">
        <f>[2]ALC!G34</f>
        <v>1.9860677348400965E-3</v>
      </c>
      <c r="D34" s="21">
        <f>[2]ALC!D34</f>
        <v>44461</v>
      </c>
      <c r="E34" s="22">
        <f>[2]ALC!E34</f>
        <v>44474</v>
      </c>
      <c r="F34" s="23">
        <v>1</v>
      </c>
      <c r="G34" s="23" t="str">
        <f t="shared" si="4"/>
        <v>100%</v>
      </c>
      <c r="H34" s="17">
        <f t="shared" si="5"/>
        <v>1.9860677348400965E-3</v>
      </c>
      <c r="I34" s="17">
        <v>1.9860677348400965E-3</v>
      </c>
      <c r="J34" s="17">
        <f t="shared" si="6"/>
        <v>0</v>
      </c>
      <c r="K34" s="26" t="str">
        <f>VLOOKUP(A34,'[2]MS Progress'!$A:$Q,6,FALSE)</f>
        <v>100%</v>
      </c>
      <c r="L34" s="18"/>
    </row>
    <row r="35" spans="1:12" ht="14.25" customHeight="1" x14ac:dyDescent="0.25">
      <c r="A35" s="25" t="str">
        <f>'[2]ALC-Master'!A35</f>
        <v>A1020.10</v>
      </c>
      <c r="B35" s="25" t="str">
        <f>'[2]ALC-Master'!C35</f>
        <v>MD2 Weighbridge System Package (Rev 1a) ALC Ammendment (1st Round)</v>
      </c>
      <c r="C35" s="20">
        <f>[2]ALC!G35</f>
        <v>1.4895508011300725E-3</v>
      </c>
      <c r="D35" s="21">
        <f>[2]ALC!D35</f>
        <v>44475</v>
      </c>
      <c r="E35" s="22">
        <f>[2]ALC!E35</f>
        <v>44484</v>
      </c>
      <c r="F35" s="23">
        <v>1</v>
      </c>
      <c r="G35" s="23" t="str">
        <f t="shared" si="4"/>
        <v>100%</v>
      </c>
      <c r="H35" s="17">
        <f t="shared" si="5"/>
        <v>1.4895508011300725E-3</v>
      </c>
      <c r="I35" s="17">
        <v>1.4895508011300725E-3</v>
      </c>
      <c r="J35" s="17">
        <f t="shared" si="6"/>
        <v>0</v>
      </c>
      <c r="K35" s="26" t="str">
        <f>VLOOKUP(A35,'[2]MS Progress'!$A:$Q,6,FALSE)</f>
        <v>100%</v>
      </c>
      <c r="L35" s="18"/>
    </row>
    <row r="36" spans="1:12" ht="14.25" customHeight="1" x14ac:dyDescent="0.25">
      <c r="A36" s="25" t="str">
        <f>'[2]ALC-Master'!A36</f>
        <v>A1020.11</v>
      </c>
      <c r="B36" s="25" t="str">
        <f>'[2]ALC-Master'!C36</f>
        <v>MD2 Weighbridge System Package (Rev 1b) Review (2nd Round)</v>
      </c>
      <c r="C36" s="20">
        <f>[2]ALC!G36</f>
        <v>6.6202257828003222E-4</v>
      </c>
      <c r="D36" s="21">
        <f>[2]ALC!D36</f>
        <v>44485</v>
      </c>
      <c r="E36" s="22">
        <f>[2]ALC!E36</f>
        <v>44489</v>
      </c>
      <c r="F36" s="23">
        <v>1</v>
      </c>
      <c r="G36" s="23" t="str">
        <f t="shared" si="4"/>
        <v>100%</v>
      </c>
      <c r="H36" s="17">
        <f t="shared" si="5"/>
        <v>6.6202257828003222E-4</v>
      </c>
      <c r="I36" s="17">
        <v>6.6202257828003222E-4</v>
      </c>
      <c r="J36" s="17">
        <f t="shared" si="6"/>
        <v>0</v>
      </c>
      <c r="K36" s="26" t="str">
        <f>VLOOKUP(A36,'[2]MS Progress'!$A:$Q,6,FALSE)</f>
        <v>100%</v>
      </c>
      <c r="L36" s="18"/>
    </row>
    <row r="37" spans="1:12" ht="14.25" customHeight="1" x14ac:dyDescent="0.25">
      <c r="A37" s="25" t="str">
        <f>'[2]ALC-Master'!A37</f>
        <v>A1020.12</v>
      </c>
      <c r="B37" s="25" t="str">
        <f>'[2]ALC-Master'!C37</f>
        <v>MD2 Weighbridge System Package (Rev 1b) ALC Ammendment (2nd Round)</v>
      </c>
      <c r="C37" s="20">
        <f>[2]ALC!G37</f>
        <v>6.6202257828003222E-4</v>
      </c>
      <c r="D37" s="21">
        <f>[2]ALC!D37</f>
        <v>44490</v>
      </c>
      <c r="E37" s="22">
        <f>[2]ALC!E37</f>
        <v>44494</v>
      </c>
      <c r="F37" s="23">
        <v>1</v>
      </c>
      <c r="G37" s="23" t="str">
        <f t="shared" si="4"/>
        <v>100%</v>
      </c>
      <c r="H37" s="17">
        <f t="shared" si="5"/>
        <v>6.6202257828003222E-4</v>
      </c>
      <c r="I37" s="17">
        <v>6.6202257828003222E-4</v>
      </c>
      <c r="J37" s="17">
        <f t="shared" si="6"/>
        <v>0</v>
      </c>
      <c r="K37" s="26" t="str">
        <f>VLOOKUP(A37,'[2]MS Progress'!$A:$Q,6,FALSE)</f>
        <v>100%</v>
      </c>
      <c r="L37" s="18"/>
    </row>
    <row r="38" spans="1:12" ht="14.25" customHeight="1" x14ac:dyDescent="0.25">
      <c r="A38" s="25" t="str">
        <f>'[2]ALC-Master'!A38</f>
        <v>A1020.13</v>
      </c>
      <c r="B38" s="25" t="str">
        <f>'[2]ALC-Master'!C38</f>
        <v>MD2 Weighbridge System Package (Rev 1) Review by SO/ NEA(Accepted with comments , Re-submission Required)</v>
      </c>
      <c r="C38" s="20">
        <f>[2]ALC!G38</f>
        <v>1.1585395119900564E-2</v>
      </c>
      <c r="D38" s="21">
        <f>[2]ALC!D38</f>
        <v>44498</v>
      </c>
      <c r="E38" s="22">
        <f>[2]ALC!E38</f>
        <v>44582</v>
      </c>
      <c r="F38" s="23">
        <v>1</v>
      </c>
      <c r="G38" s="23" t="str">
        <f t="shared" si="4"/>
        <v>100%</v>
      </c>
      <c r="H38" s="17">
        <f t="shared" si="5"/>
        <v>1.1585395119900564E-2</v>
      </c>
      <c r="I38" s="17">
        <v>1.1585395119900564E-2</v>
      </c>
      <c r="J38" s="17">
        <f t="shared" si="6"/>
        <v>0</v>
      </c>
      <c r="K38" s="26" t="str">
        <f>VLOOKUP(A38,'[2]MS Progress'!$A:$Q,6,FALSE)</f>
        <v>100%</v>
      </c>
      <c r="L38" s="18"/>
    </row>
    <row r="39" spans="1:12" ht="14.25" customHeight="1" x14ac:dyDescent="0.25">
      <c r="A39" s="25" t="str">
        <f>'[2]ALC-Master'!A39</f>
        <v>A1020.14</v>
      </c>
      <c r="B39" s="25" t="str">
        <f>'[2]ALC-Master'!C39</f>
        <v>MD2 Weighbridge System Package (Rev XX) Review by SO/ NEA(Accepted with comments , No Re-submission Required)</v>
      </c>
      <c r="C39" s="20">
        <f>[2]ALC!G39</f>
        <v>0</v>
      </c>
      <c r="D39" s="21">
        <f>[2]ALC!D39</f>
        <v>44585</v>
      </c>
      <c r="E39" s="22">
        <f>[2]ALC!E39</f>
        <v>44956</v>
      </c>
      <c r="F39" s="23">
        <v>1</v>
      </c>
      <c r="G39" s="23" t="str">
        <f t="shared" si="4"/>
        <v>100%</v>
      </c>
      <c r="H39" s="17">
        <f t="shared" si="5"/>
        <v>0</v>
      </c>
      <c r="I39" s="17">
        <v>0</v>
      </c>
      <c r="J39" s="17">
        <f t="shared" si="6"/>
        <v>0</v>
      </c>
      <c r="K39" s="26" t="str">
        <f>VLOOKUP(A39,'[2]MS Progress'!$A:$Q,6,FALSE)</f>
        <v>100%</v>
      </c>
      <c r="L39" s="18"/>
    </row>
    <row r="40" spans="1:12" ht="14.25" customHeight="1" x14ac:dyDescent="0.25">
      <c r="A40" s="25" t="str">
        <f>'[2]ALC-Master'!A40</f>
        <v>A1020.8</v>
      </c>
      <c r="B40" s="25" t="str">
        <f>'[2]ALC-Master'!C40</f>
        <v>ED1 AD2 Weighbridge System Package (Rev 1a) Ammendment by ALC on SO Comments and Re-submission to KSPL</v>
      </c>
      <c r="C40" s="20">
        <f>[2]ALC!G40</f>
        <v>4.7996636925302337E-3</v>
      </c>
      <c r="D40" s="21">
        <f>[2]ALC!D40</f>
        <v>44436</v>
      </c>
      <c r="E40" s="22">
        <f>[2]ALC!E40</f>
        <v>44469</v>
      </c>
      <c r="F40" s="23">
        <v>1</v>
      </c>
      <c r="G40" s="23" t="str">
        <f t="shared" si="4"/>
        <v>100%</v>
      </c>
      <c r="H40" s="17">
        <f t="shared" si="5"/>
        <v>4.7996636925302337E-3</v>
      </c>
      <c r="I40" s="17">
        <v>4.7996636925302337E-3</v>
      </c>
      <c r="J40" s="17">
        <f t="shared" si="6"/>
        <v>0</v>
      </c>
      <c r="K40" s="26" t="str">
        <f>VLOOKUP(A40,'[2]MS Progress'!$A:$Q,6,FALSE)</f>
        <v>100%</v>
      </c>
      <c r="L40" s="18"/>
    </row>
    <row r="41" spans="1:12" ht="14.25" customHeight="1" x14ac:dyDescent="0.25">
      <c r="A41" s="25" t="str">
        <f>'[2]ALC-Master'!A41</f>
        <v>A1020.9</v>
      </c>
      <c r="B41" s="25" t="str">
        <f>'[2]ALC-Master'!C41</f>
        <v>ED1 AD2 Weighbridge System Package (Rev 1a) Review (1st Round)</v>
      </c>
      <c r="C41" s="20">
        <f>[2]ALC!G41</f>
        <v>1.8387677111727893E-3</v>
      </c>
      <c r="D41" s="21">
        <f>[2]ALC!D41</f>
        <v>44469</v>
      </c>
      <c r="E41" s="22">
        <f>[2]ALC!E41</f>
        <v>44483</v>
      </c>
      <c r="F41" s="23">
        <v>1</v>
      </c>
      <c r="G41" s="23" t="str">
        <f t="shared" si="4"/>
        <v>100%</v>
      </c>
      <c r="H41" s="17">
        <f t="shared" si="5"/>
        <v>1.8387677111727893E-3</v>
      </c>
      <c r="I41" s="17">
        <v>1.8387677111727893E-3</v>
      </c>
      <c r="J41" s="17">
        <f t="shared" si="6"/>
        <v>0</v>
      </c>
      <c r="K41" s="26" t="str">
        <f>VLOOKUP(A41,'[2]MS Progress'!$A:$Q,6,FALSE)</f>
        <v>100%</v>
      </c>
      <c r="L41" s="18"/>
    </row>
    <row r="42" spans="1:12" ht="14.25" customHeight="1" x14ac:dyDescent="0.25">
      <c r="A42" s="25" t="str">
        <f>'[2]ALC-Master'!A42</f>
        <v>A1020.10</v>
      </c>
      <c r="B42" s="25" t="str">
        <f>'[2]ALC-Master'!C42</f>
        <v>ED1 AD2 Weighbridge System Package (Rev 1a) ALC Ammendment (1st Round)</v>
      </c>
      <c r="C42" s="20">
        <f>[2]ALC!G42</f>
        <v>1.6550564457000806E-3</v>
      </c>
      <c r="D42" s="21">
        <f>[2]ALC!D42</f>
        <v>44483</v>
      </c>
      <c r="E42" s="22">
        <f>[2]ALC!E42</f>
        <v>44495</v>
      </c>
      <c r="F42" s="23">
        <v>1</v>
      </c>
      <c r="G42" s="23" t="str">
        <f t="shared" si="4"/>
        <v>100%</v>
      </c>
      <c r="H42" s="17">
        <f t="shared" si="5"/>
        <v>1.6550564457000806E-3</v>
      </c>
      <c r="I42" s="17">
        <v>1.6550564457000806E-3</v>
      </c>
      <c r="J42" s="17">
        <f t="shared" si="6"/>
        <v>0</v>
      </c>
      <c r="K42" s="26" t="str">
        <f>VLOOKUP(A42,'[2]MS Progress'!$A:$Q,6,FALSE)</f>
        <v>100%</v>
      </c>
      <c r="L42" s="18"/>
    </row>
    <row r="43" spans="1:12" ht="14.25" customHeight="1" x14ac:dyDescent="0.25">
      <c r="A43" s="25" t="str">
        <f>'[2]ALC-Master'!A43</f>
        <v>A1020.11</v>
      </c>
      <c r="B43" s="25" t="str">
        <f>'[2]ALC-Master'!C43</f>
        <v>ED1 AD2 Weighbridge System Package (Rev 1b) Review (2nd Round)</v>
      </c>
      <c r="C43" s="20">
        <f>[2]ALC!G43</f>
        <v>1.8371126547270895E-4</v>
      </c>
      <c r="D43" s="21">
        <f>[2]ALC!D43</f>
        <v>44495</v>
      </c>
      <c r="E43" s="22">
        <f>[2]ALC!E43</f>
        <v>44497</v>
      </c>
      <c r="F43" s="23">
        <v>1</v>
      </c>
      <c r="G43" s="23" t="str">
        <f t="shared" si="4"/>
        <v>100%</v>
      </c>
      <c r="H43" s="17">
        <f t="shared" si="5"/>
        <v>1.8371126547270895E-4</v>
      </c>
      <c r="I43" s="17">
        <v>1.8371126547270895E-4</v>
      </c>
      <c r="J43" s="17">
        <f t="shared" si="6"/>
        <v>0</v>
      </c>
      <c r="K43" s="26" t="str">
        <f>VLOOKUP(A43,'[2]MS Progress'!$A:$Q,6,FALSE)</f>
        <v>100%</v>
      </c>
      <c r="L43" s="18"/>
    </row>
    <row r="44" spans="1:12" ht="14.25" customHeight="1" x14ac:dyDescent="0.25">
      <c r="A44" s="25" t="str">
        <f>'[2]ALC-Master'!A44</f>
        <v>A1020.12</v>
      </c>
      <c r="B44" s="25" t="str">
        <f>'[2]ALC-Master'!C44</f>
        <v>ED1 AD2 Weighbridge System Package (Rev 1b) ALC Ammendment (2nd Round)</v>
      </c>
      <c r="C44" s="20">
        <f>[2]ALC!G44</f>
        <v>1.6550564457000805E-4</v>
      </c>
      <c r="D44" s="21">
        <f>[2]ALC!D44</f>
        <v>44497</v>
      </c>
      <c r="E44" s="22">
        <f>[2]ALC!E44</f>
        <v>44498</v>
      </c>
      <c r="F44" s="23">
        <v>1</v>
      </c>
      <c r="G44" s="23" t="str">
        <f t="shared" si="4"/>
        <v>100%</v>
      </c>
      <c r="H44" s="17">
        <f t="shared" si="5"/>
        <v>1.6550564457000805E-4</v>
      </c>
      <c r="I44" s="17">
        <v>1.6550564457000805E-4</v>
      </c>
      <c r="J44" s="17">
        <f t="shared" si="6"/>
        <v>0</v>
      </c>
      <c r="K44" s="26" t="str">
        <f>VLOOKUP(A44,'[2]MS Progress'!$A:$Q,6,FALSE)</f>
        <v>100%</v>
      </c>
      <c r="L44" s="18"/>
    </row>
    <row r="45" spans="1:12" ht="14.25" customHeight="1" x14ac:dyDescent="0.25">
      <c r="A45" s="25" t="str">
        <f>'[2]ALC-Master'!A45</f>
        <v>A1020.13</v>
      </c>
      <c r="B45" s="25" t="str">
        <f>'[2]ALC-Master'!C45</f>
        <v>ED1 AD2 Weighbridge System Package (Rev 1) Review by SO/ NEA</v>
      </c>
      <c r="C45" s="20">
        <f>[2]ALC!G45</f>
        <v>1.3240451565600644E-3</v>
      </c>
      <c r="D45" s="21">
        <f>[2]ALC!D45</f>
        <v>44498</v>
      </c>
      <c r="E45" s="22">
        <f>[2]ALC!E45</f>
        <v>44508</v>
      </c>
      <c r="F45" s="23">
        <v>1</v>
      </c>
      <c r="G45" s="23" t="str">
        <f t="shared" si="4"/>
        <v>100%</v>
      </c>
      <c r="H45" s="17">
        <f t="shared" si="5"/>
        <v>1.3240451565600644E-3</v>
      </c>
      <c r="I45" s="17">
        <v>1.3240451565600644E-3</v>
      </c>
      <c r="J45" s="17">
        <f t="shared" si="6"/>
        <v>0</v>
      </c>
      <c r="K45" s="26" t="str">
        <f>VLOOKUP(A45,'[2]MS Progress'!$A:$Q,6,FALSE)</f>
        <v>100%</v>
      </c>
      <c r="L45" s="18"/>
    </row>
    <row r="46" spans="1:12" ht="14.25" customHeight="1" x14ac:dyDescent="0.25">
      <c r="A46" s="25" t="str">
        <f>'[2]ALC-Master'!A46</f>
        <v>A1020.14</v>
      </c>
      <c r="B46" s="25" t="str">
        <f>'[2]ALC-Master'!C46</f>
        <v>AD2 Weighbridge System Package (Rev 1) Review by SO/ NEA(Accepted with comments , Re-submission Required)</v>
      </c>
      <c r="C46" s="20">
        <f>[2]ALC!G46</f>
        <v>1.1750900764470572E-2</v>
      </c>
      <c r="D46" s="21">
        <f>[2]ALC!D46</f>
        <v>44498</v>
      </c>
      <c r="E46" s="22">
        <f>[2]ALC!E46</f>
        <v>44583</v>
      </c>
      <c r="F46" s="23">
        <v>1</v>
      </c>
      <c r="G46" s="23" t="str">
        <f t="shared" si="4"/>
        <v>100%</v>
      </c>
      <c r="H46" s="17">
        <f t="shared" si="5"/>
        <v>1.1750900764470572E-2</v>
      </c>
      <c r="I46" s="17">
        <v>1.1750900764470572E-2</v>
      </c>
      <c r="J46" s="17">
        <f t="shared" si="6"/>
        <v>0</v>
      </c>
      <c r="K46" s="26" t="str">
        <f>VLOOKUP(A46,'[2]MS Progress'!$A:$Q,6,FALSE)</f>
        <v>100%</v>
      </c>
      <c r="L46" s="18"/>
    </row>
    <row r="47" spans="1:12" ht="14.25" customHeight="1" x14ac:dyDescent="0.25">
      <c r="A47" s="25" t="str">
        <f>'[2]ALC-Master'!A47</f>
        <v>A1020.15</v>
      </c>
      <c r="B47" s="25" t="str">
        <f>'[2]ALC-Master'!C47</f>
        <v>AD2 Weighbridge System Package (Rev XX) Review by SO/ NEA(Accepted with comments , Re-submission Required)</v>
      </c>
      <c r="C47" s="20">
        <f>[2]ALC!G47</f>
        <v>0</v>
      </c>
      <c r="D47" s="21">
        <f>[2]ALC!D47</f>
        <v>44585</v>
      </c>
      <c r="E47" s="22">
        <f>[2]ALC!E47</f>
        <v>45115</v>
      </c>
      <c r="F47" s="23">
        <v>1</v>
      </c>
      <c r="G47" s="23" t="str">
        <f t="shared" si="4"/>
        <v>100%</v>
      </c>
      <c r="H47" s="17">
        <f t="shared" si="5"/>
        <v>0</v>
      </c>
      <c r="I47" s="17">
        <v>0</v>
      </c>
      <c r="J47" s="17">
        <f t="shared" si="6"/>
        <v>0</v>
      </c>
      <c r="K47" s="26" t="str">
        <f>VLOOKUP(A47,'[2]MS Progress'!$A:$Q,6,FALSE)</f>
        <v>100%</v>
      </c>
      <c r="L47" s="18"/>
    </row>
    <row r="48" spans="1:12" ht="14.25" customHeight="1" x14ac:dyDescent="0.25">
      <c r="A48" s="25" t="str">
        <f>'[2]ALC-Master'!A48</f>
        <v>A1030</v>
      </c>
      <c r="B48" s="25" t="str">
        <f>'[2]ALC-Master'!C48</f>
        <v>MD3 ED2 ED3 AD3 Preparation, Submission, Review &amp; Acceptance</v>
      </c>
      <c r="C48" s="20"/>
      <c r="D48" s="21"/>
      <c r="E48" s="22"/>
      <c r="F48" s="23"/>
      <c r="G48" s="23"/>
      <c r="H48" s="17"/>
      <c r="I48" s="17"/>
      <c r="J48" s="17"/>
      <c r="K48" s="18"/>
      <c r="L48" s="18"/>
    </row>
    <row r="49" spans="1:12" ht="14.25" customHeight="1" x14ac:dyDescent="0.25">
      <c r="A49" s="25" t="str">
        <f>'[2]ALC-Master'!A49</f>
        <v>A1030.1</v>
      </c>
      <c r="B49" s="25" t="str">
        <f>'[2]ALC-Master'!C49</f>
        <v>MD3 Preparation, Submission, Review &amp; Acceptance</v>
      </c>
      <c r="C49" s="20"/>
      <c r="D49" s="21"/>
      <c r="E49" s="22"/>
      <c r="F49" s="23"/>
      <c r="G49" s="23"/>
      <c r="H49" s="17"/>
      <c r="I49" s="17"/>
      <c r="J49" s="17"/>
      <c r="K49" s="18"/>
      <c r="L49" s="18"/>
    </row>
    <row r="50" spans="1:12" ht="14.25" customHeight="1" x14ac:dyDescent="0.25">
      <c r="A50" s="25" t="str">
        <f>'[2]ALC-Master'!A50</f>
        <v>A1030.1</v>
      </c>
      <c r="B50" s="25" t="str">
        <f>'[2]ALC-Master'!C50</f>
        <v>MD3 Weighbridge System Package (Rev 0a) Preparation by ALC</v>
      </c>
      <c r="C50" s="20">
        <f>[2]ALC!G50</f>
        <v>1.6550564457000806E-3</v>
      </c>
      <c r="D50" s="21">
        <f>[2]ALC!D50</f>
        <v>44737</v>
      </c>
      <c r="E50" s="22">
        <f>[2]ALC!E50</f>
        <v>44748</v>
      </c>
      <c r="F50" s="23">
        <v>1</v>
      </c>
      <c r="G50" s="23" t="str">
        <f t="shared" ref="G50:G78" si="7">K50</f>
        <v>100%</v>
      </c>
      <c r="H50" s="17">
        <f t="shared" ref="H50:H78" si="8">(G50/F50)*C50</f>
        <v>1.6550564457000806E-3</v>
      </c>
      <c r="I50" s="17">
        <v>1.6550564457000806E-3</v>
      </c>
      <c r="J50" s="17">
        <f t="shared" ref="J50:J78" si="9">H50-I50</f>
        <v>0</v>
      </c>
      <c r="K50" s="26" t="str">
        <f>VLOOKUP(A50,'[2]MS Progress'!$A:$Q,6,FALSE)</f>
        <v>100%</v>
      </c>
      <c r="L50" s="18"/>
    </row>
    <row r="51" spans="1:12" ht="14.25" customHeight="1" x14ac:dyDescent="0.25">
      <c r="A51" s="25" t="str">
        <f>'[2]ALC-Master'!A51</f>
        <v>A1030.2</v>
      </c>
      <c r="B51" s="25" t="str">
        <f>'[2]ALC-Master'!C51</f>
        <v>MD3 Weighbridge System Package (Rev 0a) Submission to KSPL</v>
      </c>
      <c r="C51" s="20">
        <f>[2]ALC!G51</f>
        <v>4.9651693371002413E-4</v>
      </c>
      <c r="D51" s="21">
        <f>[2]ALC!D51</f>
        <v>44749</v>
      </c>
      <c r="E51" s="22">
        <f>[2]ALC!E51</f>
        <v>44751</v>
      </c>
      <c r="F51" s="23">
        <v>1</v>
      </c>
      <c r="G51" s="23" t="str">
        <f t="shared" si="7"/>
        <v>100%</v>
      </c>
      <c r="H51" s="17">
        <f t="shared" si="8"/>
        <v>4.9651693371002413E-4</v>
      </c>
      <c r="I51" s="17">
        <v>4.9651693371002413E-4</v>
      </c>
      <c r="J51" s="17">
        <f t="shared" si="9"/>
        <v>0</v>
      </c>
      <c r="K51" s="26" t="str">
        <f>VLOOKUP(A51,'[2]MS Progress'!$A:$Q,6,FALSE)</f>
        <v>100%</v>
      </c>
      <c r="L51" s="18"/>
    </row>
    <row r="52" spans="1:12" ht="14.25" customHeight="1" x14ac:dyDescent="0.25">
      <c r="A52" s="25" t="str">
        <f>'[2]ALC-Master'!A52</f>
        <v>A1030.3</v>
      </c>
      <c r="B52" s="25" t="str">
        <f>'[2]ALC-Master'!C52</f>
        <v>MD3 Weighbridge System Package (Rev 0a) Review (1st Round)</v>
      </c>
      <c r="C52" s="20">
        <f>[2]ALC!G52</f>
        <v>1.8205620902700887E-3</v>
      </c>
      <c r="D52" s="21">
        <f>[2]ALC!D52</f>
        <v>44754</v>
      </c>
      <c r="E52" s="22">
        <f>[2]ALC!E52</f>
        <v>44765</v>
      </c>
      <c r="F52" s="23">
        <v>1</v>
      </c>
      <c r="G52" s="23" t="str">
        <f t="shared" si="7"/>
        <v>100%</v>
      </c>
      <c r="H52" s="17">
        <f t="shared" si="8"/>
        <v>1.8205620902700887E-3</v>
      </c>
      <c r="I52" s="17">
        <v>1.8205620902700887E-3</v>
      </c>
      <c r="J52" s="17">
        <f t="shared" si="9"/>
        <v>0</v>
      </c>
      <c r="K52" s="26" t="str">
        <f>VLOOKUP(A52,'[2]MS Progress'!$A:$Q,6,FALSE)</f>
        <v>100%</v>
      </c>
      <c r="L52" s="18"/>
    </row>
    <row r="53" spans="1:12" ht="14.25" customHeight="1" x14ac:dyDescent="0.25">
      <c r="A53" s="25" t="str">
        <f>'[2]ALC-Master'!A53</f>
        <v>A1030.4</v>
      </c>
      <c r="B53" s="25" t="str">
        <f>'[2]ALC-Master'!C53</f>
        <v>MD3 Weighbridge System Package (Rev 0a) ALC Ammendment (1st Round)</v>
      </c>
      <c r="C53" s="20">
        <f>[2]ALC!G53</f>
        <v>4.9651693371002413E-4</v>
      </c>
      <c r="D53" s="21">
        <f>[2]ALC!D53</f>
        <v>44767</v>
      </c>
      <c r="E53" s="22">
        <f>[2]ALC!E53</f>
        <v>44769</v>
      </c>
      <c r="F53" s="23">
        <v>1</v>
      </c>
      <c r="G53" s="23" t="str">
        <f t="shared" si="7"/>
        <v>100%</v>
      </c>
      <c r="H53" s="17">
        <f t="shared" si="8"/>
        <v>4.9651693371002413E-4</v>
      </c>
      <c r="I53" s="17">
        <v>4.9651693371002413E-4</v>
      </c>
      <c r="J53" s="17">
        <f t="shared" si="9"/>
        <v>0</v>
      </c>
      <c r="K53" s="26" t="str">
        <f>VLOOKUP(A53,'[2]MS Progress'!$A:$Q,6,FALSE)</f>
        <v>100%</v>
      </c>
      <c r="L53" s="18"/>
    </row>
    <row r="54" spans="1:12" ht="14.25" customHeight="1" x14ac:dyDescent="0.25">
      <c r="A54" s="25" t="str">
        <f>'[2]ALC-Master'!A54</f>
        <v>A1030.5</v>
      </c>
      <c r="B54" s="25" t="str">
        <f>'[2]ALC-Master'!C54</f>
        <v>MD3 Weighbridge System Package (Rev 0b) Review (2nd Round)</v>
      </c>
      <c r="C54" s="20">
        <f>[2]ALC!G54</f>
        <v>1.3240451565600644E-3</v>
      </c>
      <c r="D54" s="21">
        <f>[2]ALC!D54</f>
        <v>44770</v>
      </c>
      <c r="E54" s="22">
        <f>[2]ALC!E54</f>
        <v>44778</v>
      </c>
      <c r="F54" s="23">
        <v>1</v>
      </c>
      <c r="G54" s="23" t="str">
        <f t="shared" si="7"/>
        <v>100%</v>
      </c>
      <c r="H54" s="17">
        <f t="shared" si="8"/>
        <v>1.3240451565600644E-3</v>
      </c>
      <c r="I54" s="17">
        <v>1.3240451565600644E-3</v>
      </c>
      <c r="J54" s="17">
        <f t="shared" si="9"/>
        <v>0</v>
      </c>
      <c r="K54" s="26" t="str">
        <f>VLOOKUP(A54,'[2]MS Progress'!$A:$Q,6,FALSE)</f>
        <v>100%</v>
      </c>
      <c r="L54" s="18"/>
    </row>
    <row r="55" spans="1:12" ht="14.25" customHeight="1" x14ac:dyDescent="0.25">
      <c r="A55" s="25" t="str">
        <f>'[2]ALC-Master'!A55</f>
        <v>A1030.6</v>
      </c>
      <c r="B55" s="25" t="str">
        <f>'[2]ALC-Master'!C55</f>
        <v>MD3 Weighbridge System Package (Rev 0b) ALC Ammendment (2nd Round)</v>
      </c>
      <c r="C55" s="20">
        <f>[2]ALC!G55</f>
        <v>8.275282228500403E-4</v>
      </c>
      <c r="D55" s="21">
        <f>[2]ALC!D55</f>
        <v>44779</v>
      </c>
      <c r="E55" s="22">
        <f>[2]ALC!E55</f>
        <v>44785</v>
      </c>
      <c r="F55" s="23">
        <v>1</v>
      </c>
      <c r="G55" s="23" t="str">
        <f t="shared" si="7"/>
        <v>100%</v>
      </c>
      <c r="H55" s="17">
        <f t="shared" si="8"/>
        <v>8.275282228500403E-4</v>
      </c>
      <c r="I55" s="17">
        <v>8.275282228500403E-4</v>
      </c>
      <c r="J55" s="17">
        <f t="shared" si="9"/>
        <v>0</v>
      </c>
      <c r="K55" s="26" t="str">
        <f>VLOOKUP(A55,'[2]MS Progress'!$A:$Q,6,FALSE)</f>
        <v>100%</v>
      </c>
      <c r="L55" s="18"/>
    </row>
    <row r="56" spans="1:12" ht="14.25" customHeight="1" x14ac:dyDescent="0.25">
      <c r="A56" s="25" t="str">
        <f>'[2]ALC-Master'!A56</f>
        <v>A1030.7</v>
      </c>
      <c r="B56" s="25" t="str">
        <f>'[2]ALC-Master'!C56</f>
        <v>MD3 Weighbridge System Package (Rev 0) Review by SO/ NEA</v>
      </c>
      <c r="C56" s="20">
        <f>[2]ALC!G56</f>
        <v>1.0923372541620532E-2</v>
      </c>
      <c r="D56" s="21">
        <f>[2]ALC!D56</f>
        <v>44786</v>
      </c>
      <c r="E56" s="22">
        <f>[2]ALC!E56</f>
        <v>44805</v>
      </c>
      <c r="F56" s="23">
        <v>1</v>
      </c>
      <c r="G56" s="23" t="str">
        <f t="shared" si="7"/>
        <v>100%</v>
      </c>
      <c r="H56" s="17">
        <f t="shared" si="8"/>
        <v>1.0923372541620532E-2</v>
      </c>
      <c r="I56" s="17">
        <v>1.0923372541620532E-2</v>
      </c>
      <c r="J56" s="17">
        <f t="shared" si="9"/>
        <v>0</v>
      </c>
      <c r="K56" s="26" t="str">
        <f>VLOOKUP(A56,'[2]MS Progress'!$A:$Q,6,FALSE)</f>
        <v>100%</v>
      </c>
      <c r="L56" s="18"/>
    </row>
    <row r="57" spans="1:12" ht="14.25" customHeight="1" x14ac:dyDescent="0.25">
      <c r="A57" s="25" t="str">
        <f>'[2]ALC-Master'!A57</f>
        <v>A1030.8</v>
      </c>
      <c r="B57" s="25" t="str">
        <f>'[2]ALC-Master'!C57</f>
        <v>MD3 Weighbridge System Package (Rev 1a) Ammendment by ALC on SO comments and Re-submission to KSPL</v>
      </c>
      <c r="C57" s="20">
        <f>[2]ALC!G57</f>
        <v>2.8715229332896401E-3</v>
      </c>
      <c r="D57" s="21">
        <f>[2]ALC!D57</f>
        <v>44806</v>
      </c>
      <c r="E57" s="22">
        <f>[2]ALC!E57</f>
        <v>44813</v>
      </c>
      <c r="F57" s="23">
        <v>1</v>
      </c>
      <c r="G57" s="23" t="str">
        <f t="shared" si="7"/>
        <v>100%</v>
      </c>
      <c r="H57" s="17">
        <f t="shared" si="8"/>
        <v>2.8715229332896401E-3</v>
      </c>
      <c r="I57" s="17">
        <v>2.8715229332896401E-3</v>
      </c>
      <c r="J57" s="17">
        <f t="shared" si="9"/>
        <v>0</v>
      </c>
      <c r="K57" s="26" t="str">
        <f>VLOOKUP(A57,'[2]MS Progress'!$A:$Q,6,FALSE)</f>
        <v>100%</v>
      </c>
      <c r="L57" s="18"/>
    </row>
    <row r="58" spans="1:12" ht="14.25" customHeight="1" x14ac:dyDescent="0.25">
      <c r="A58" s="25" t="str">
        <f>'[2]ALC-Master'!A58</f>
        <v>A1030.9</v>
      </c>
      <c r="B58" s="25" t="str">
        <f>'[2]ALC-Master'!C58</f>
        <v>MD3 Weighbridge System Package (Rev 1a) Review (1st Round)</v>
      </c>
      <c r="C58" s="20">
        <f>[2]ALC!G58</f>
        <v>1.6550564457000805E-4</v>
      </c>
      <c r="D58" s="21">
        <f>[2]ALC!D58</f>
        <v>44814</v>
      </c>
      <c r="E58" s="22">
        <f>[2]ALC!E58</f>
        <v>44820</v>
      </c>
      <c r="F58" s="23">
        <v>1</v>
      </c>
      <c r="G58" s="23" t="str">
        <f t="shared" si="7"/>
        <v>100%</v>
      </c>
      <c r="H58" s="17">
        <f t="shared" si="8"/>
        <v>1.6550564457000805E-4</v>
      </c>
      <c r="I58" s="17">
        <v>1.6550564457000805E-4</v>
      </c>
      <c r="J58" s="17">
        <f t="shared" si="9"/>
        <v>0</v>
      </c>
      <c r="K58" s="26" t="str">
        <f>VLOOKUP(A58,'[2]MS Progress'!$A:$Q,6,FALSE)</f>
        <v>100%</v>
      </c>
      <c r="L58" s="18"/>
    </row>
    <row r="59" spans="1:12" ht="14.25" customHeight="1" x14ac:dyDescent="0.25">
      <c r="A59" s="25" t="str">
        <f>'[2]ALC-Master'!A59</f>
        <v>A1030.10</v>
      </c>
      <c r="B59" s="25" t="str">
        <f>'[2]ALC-Master'!C59</f>
        <v>MD3 Weighbridge System Package (Rev 1a) ALC Ammendment (1st Round)</v>
      </c>
      <c r="C59" s="20">
        <f>[2]ALC!G59</f>
        <v>1.6550564457000805E-4</v>
      </c>
      <c r="D59" s="21">
        <f>[2]ALC!D59</f>
        <v>44821</v>
      </c>
      <c r="E59" s="22">
        <f>[2]ALC!E59</f>
        <v>44825</v>
      </c>
      <c r="F59" s="23">
        <v>1</v>
      </c>
      <c r="G59" s="23" t="str">
        <f t="shared" si="7"/>
        <v>100%</v>
      </c>
      <c r="H59" s="17">
        <f t="shared" si="8"/>
        <v>1.6550564457000805E-4</v>
      </c>
      <c r="I59" s="17">
        <v>1.6550564457000805E-4</v>
      </c>
      <c r="J59" s="17">
        <f t="shared" si="9"/>
        <v>0</v>
      </c>
      <c r="K59" s="26" t="str">
        <f>VLOOKUP(A59,'[2]MS Progress'!$A:$Q,6,FALSE)</f>
        <v>100%</v>
      </c>
      <c r="L59" s="18"/>
    </row>
    <row r="60" spans="1:12" ht="14.25" customHeight="1" x14ac:dyDescent="0.25">
      <c r="A60" s="25" t="str">
        <f>'[2]ALC-Master'!A60</f>
        <v>A1030.11</v>
      </c>
      <c r="B60" s="25" t="str">
        <f>'[2]ALC-Master'!C60</f>
        <v>MD3 Weighbridge System Package (Rev 1b) Review (2nd Round)</v>
      </c>
      <c r="C60" s="20">
        <f>[2]ALC!G60</f>
        <v>1.6550564457000805E-4</v>
      </c>
      <c r="D60" s="21">
        <f>[2]ALC!D60</f>
        <v>44826</v>
      </c>
      <c r="E60" s="22">
        <f>[2]ALC!E60</f>
        <v>44833</v>
      </c>
      <c r="F60" s="23">
        <v>1</v>
      </c>
      <c r="G60" s="23" t="str">
        <f t="shared" si="7"/>
        <v>100%</v>
      </c>
      <c r="H60" s="17">
        <f t="shared" si="8"/>
        <v>1.6550564457000805E-4</v>
      </c>
      <c r="I60" s="17">
        <v>1.6550564457000805E-4</v>
      </c>
      <c r="J60" s="17">
        <f t="shared" si="9"/>
        <v>0</v>
      </c>
      <c r="K60" s="26" t="str">
        <f>VLOOKUP(A60,'[2]MS Progress'!$A:$Q,6,FALSE)</f>
        <v>100%</v>
      </c>
      <c r="L60" s="18"/>
    </row>
    <row r="61" spans="1:12" ht="14.25" customHeight="1" x14ac:dyDescent="0.25">
      <c r="A61" s="25" t="str">
        <f>'[2]ALC-Master'!A61</f>
        <v>A1030.12</v>
      </c>
      <c r="B61" s="25" t="str">
        <f>'[2]ALC-Master'!C61</f>
        <v>MD3 Weighbridge System Package (Rev 1b) ALC Ammendment (2nd Round)</v>
      </c>
      <c r="C61" s="20">
        <f>[2]ALC!G61</f>
        <v>1.6550564457000805E-4</v>
      </c>
      <c r="D61" s="21">
        <f>[2]ALC!D61</f>
        <v>44834</v>
      </c>
      <c r="E61" s="22">
        <f>[2]ALC!E61</f>
        <v>44838</v>
      </c>
      <c r="F61" s="23">
        <v>1</v>
      </c>
      <c r="G61" s="23" t="str">
        <f t="shared" si="7"/>
        <v>100%</v>
      </c>
      <c r="H61" s="17">
        <f t="shared" si="8"/>
        <v>1.6550564457000805E-4</v>
      </c>
      <c r="I61" s="17">
        <v>1.6550564457000805E-4</v>
      </c>
      <c r="J61" s="17">
        <f t="shared" si="9"/>
        <v>0</v>
      </c>
      <c r="K61" s="26" t="str">
        <f>VLOOKUP(A61,'[2]MS Progress'!$A:$Q,6,FALSE)</f>
        <v>100%</v>
      </c>
      <c r="L61" s="18"/>
    </row>
    <row r="62" spans="1:12" ht="14.25" customHeight="1" x14ac:dyDescent="0.25">
      <c r="A62" s="25" t="str">
        <f>'[2]ALC-Master'!A62</f>
        <v>A1030.13</v>
      </c>
      <c r="B62" s="25" t="str">
        <f>'[2]ALC-Master'!C62</f>
        <v>MD3 Weighbridge System Package (Rev 1) Review by SO/ NEA</v>
      </c>
      <c r="C62" s="20">
        <f>[2]ALC!G62</f>
        <v>3.3928657136851653E-3</v>
      </c>
      <c r="D62" s="21">
        <f>[2]ALC!D62</f>
        <v>44839</v>
      </c>
      <c r="E62" s="22">
        <f>[2]ALC!E62</f>
        <v>44859</v>
      </c>
      <c r="F62" s="23">
        <v>1</v>
      </c>
      <c r="G62" s="23" t="str">
        <f t="shared" si="7"/>
        <v>100%</v>
      </c>
      <c r="H62" s="17">
        <f t="shared" si="8"/>
        <v>3.3928657136851653E-3</v>
      </c>
      <c r="I62" s="17">
        <v>3.3928657136851653E-3</v>
      </c>
      <c r="J62" s="17">
        <f t="shared" si="9"/>
        <v>0</v>
      </c>
      <c r="K62" s="26" t="str">
        <f>VLOOKUP(A62,'[2]MS Progress'!$A:$Q,6,FALSE)</f>
        <v>100%</v>
      </c>
      <c r="L62" s="18"/>
    </row>
    <row r="63" spans="1:12" ht="14.25" customHeight="1" x14ac:dyDescent="0.25">
      <c r="A63" s="25" t="str">
        <f>'[2]ALC-Master'!A63</f>
        <v>A1030.14</v>
      </c>
      <c r="B63" s="25" t="str">
        <f>'[2]ALC-Master'!C63</f>
        <v>MD3 Weighbridge System Package (Review 2 and above monitored accepted with comments, No Re-submission Required)</v>
      </c>
      <c r="C63" s="20">
        <f>[2]ALC!G63</f>
        <v>4.4686524033902171E-3</v>
      </c>
      <c r="D63" s="21">
        <f>[2]ALC!D63</f>
        <v>44860</v>
      </c>
      <c r="E63" s="22">
        <f>[2]ALC!E63</f>
        <v>44890</v>
      </c>
      <c r="F63" s="23">
        <v>1</v>
      </c>
      <c r="G63" s="23" t="str">
        <f t="shared" si="7"/>
        <v>100%</v>
      </c>
      <c r="H63" s="17">
        <f t="shared" si="8"/>
        <v>4.4686524033902171E-3</v>
      </c>
      <c r="I63" s="17">
        <v>4.4686524033902171E-3</v>
      </c>
      <c r="J63" s="17">
        <f t="shared" si="9"/>
        <v>0</v>
      </c>
      <c r="K63" s="26" t="str">
        <f>VLOOKUP(A63,'[2]MS Progress'!$A:$Q,6,FALSE)</f>
        <v>100%</v>
      </c>
      <c r="L63" s="18"/>
    </row>
    <row r="64" spans="1:12" ht="14.25" customHeight="1" x14ac:dyDescent="0.25">
      <c r="A64" s="25" t="str">
        <f>'[2]ALC-Master'!A64</f>
        <v>A1030.2</v>
      </c>
      <c r="B64" s="25" t="str">
        <f>'[2]ALC-Master'!C64</f>
        <v>ED2 Preparation, Submission, Review &amp; Acceptance</v>
      </c>
      <c r="C64" s="20">
        <f>[2]ALC!G64</f>
        <v>0.1768477463923907</v>
      </c>
      <c r="D64" s="21">
        <f>[2]ALC!D64</f>
        <v>44365</v>
      </c>
      <c r="E64" s="22">
        <f>[2]ALC!E64</f>
        <v>45121</v>
      </c>
      <c r="F64" s="23">
        <v>1</v>
      </c>
      <c r="G64" s="23" t="str">
        <f t="shared" si="7"/>
        <v>100%</v>
      </c>
      <c r="H64" s="17">
        <f t="shared" si="8"/>
        <v>0.1768477463923907</v>
      </c>
      <c r="I64" s="17">
        <v>0.1768477463923907</v>
      </c>
      <c r="J64" s="17">
        <f t="shared" si="9"/>
        <v>0</v>
      </c>
      <c r="K64" s="26" t="str">
        <f>VLOOKUP(A64,'[2]MS Progress'!$A:$Q,6,FALSE)</f>
        <v>100%</v>
      </c>
      <c r="L64" s="18"/>
    </row>
    <row r="65" spans="1:12" ht="14.25" customHeight="1" x14ac:dyDescent="0.25">
      <c r="A65" s="25" t="str">
        <f>'[2]ALC-Master'!A65</f>
        <v>A1030.2.1</v>
      </c>
      <c r="B65" s="25" t="str">
        <f>'[2]ALC-Master'!C65</f>
        <v>ED2 Weighbridge System Package (Rev 0a) Preparation by ALC</v>
      </c>
      <c r="C65" s="20">
        <f>[2]ALC!G65</f>
        <v>1.108887818619054E-2</v>
      </c>
      <c r="D65" s="21">
        <f>[2]ALC!D65</f>
        <v>44365</v>
      </c>
      <c r="E65" s="22">
        <f>[2]ALC!E65</f>
        <v>44443</v>
      </c>
      <c r="F65" s="23">
        <v>1</v>
      </c>
      <c r="G65" s="23" t="str">
        <f t="shared" si="7"/>
        <v>100%</v>
      </c>
      <c r="H65" s="17">
        <f t="shared" si="8"/>
        <v>1.108887818619054E-2</v>
      </c>
      <c r="I65" s="17">
        <v>1.108887818619054E-2</v>
      </c>
      <c r="J65" s="17">
        <f t="shared" si="9"/>
        <v>0</v>
      </c>
      <c r="K65" s="26" t="str">
        <f>VLOOKUP(A65,'[2]MS Progress'!$A:$Q,6,FALSE)</f>
        <v>100%</v>
      </c>
      <c r="L65" s="18"/>
    </row>
    <row r="66" spans="1:12" ht="14.25" customHeight="1" x14ac:dyDescent="0.25">
      <c r="A66" s="25" t="str">
        <f>'[2]ALC-Master'!A66</f>
        <v>A1030.2.2</v>
      </c>
      <c r="B66" s="25" t="str">
        <f>'[2]ALC-Master'!C66</f>
        <v>ED2 Weighbridge System Package (Rev 0a) Submission to KSPL</v>
      </c>
      <c r="C66" s="20">
        <f>[2]ALC!G66</f>
        <v>3.3101128914001611E-4</v>
      </c>
      <c r="D66" s="21">
        <f>[2]ALC!D66</f>
        <v>44445</v>
      </c>
      <c r="E66" s="22">
        <f>[2]ALC!E66</f>
        <v>44446</v>
      </c>
      <c r="F66" s="23">
        <v>1</v>
      </c>
      <c r="G66" s="23" t="str">
        <f t="shared" si="7"/>
        <v>100%</v>
      </c>
      <c r="H66" s="17">
        <f t="shared" si="8"/>
        <v>3.3101128914001611E-4</v>
      </c>
      <c r="I66" s="17">
        <v>3.3101128914001611E-4</v>
      </c>
      <c r="J66" s="17">
        <f t="shared" si="9"/>
        <v>0</v>
      </c>
      <c r="K66" s="26" t="str">
        <f>VLOOKUP(A66,'[2]MS Progress'!$A:$Q,6,FALSE)</f>
        <v>100%</v>
      </c>
      <c r="L66" s="18"/>
    </row>
    <row r="67" spans="1:12" ht="14.25" customHeight="1" x14ac:dyDescent="0.25">
      <c r="A67" s="25" t="str">
        <f>'[2]ALC-Master'!A67</f>
        <v>A1030.2.3</v>
      </c>
      <c r="B67" s="25" t="str">
        <f>'[2]ALC-Master'!C67</f>
        <v>ED2 Weighbridge System Package (Rev 0a) Review (1st Round)</v>
      </c>
      <c r="C67" s="20">
        <f>[2]ALC!G67</f>
        <v>1.9860677348400965E-3</v>
      </c>
      <c r="D67" s="21">
        <f>[2]ALC!D67</f>
        <v>44447</v>
      </c>
      <c r="E67" s="22">
        <f>[2]ALC!E67</f>
        <v>44460</v>
      </c>
      <c r="F67" s="23">
        <v>1</v>
      </c>
      <c r="G67" s="23" t="str">
        <f t="shared" si="7"/>
        <v>100%</v>
      </c>
      <c r="H67" s="17">
        <f t="shared" si="8"/>
        <v>1.9860677348400965E-3</v>
      </c>
      <c r="I67" s="17">
        <v>1.9860677348400965E-3</v>
      </c>
      <c r="J67" s="17">
        <f t="shared" si="9"/>
        <v>0</v>
      </c>
      <c r="K67" s="26" t="str">
        <f>VLOOKUP(A67,'[2]MS Progress'!$A:$Q,6,FALSE)</f>
        <v>100%</v>
      </c>
      <c r="L67" s="18"/>
    </row>
    <row r="68" spans="1:12" ht="14.25" customHeight="1" x14ac:dyDescent="0.25">
      <c r="A68" s="25" t="str">
        <f>'[2]ALC-Master'!A68</f>
        <v>A1030.2.4</v>
      </c>
      <c r="B68" s="25" t="str">
        <f>'[2]ALC-Master'!C68</f>
        <v>ED2 Weighbridge System Package (Rev 0a) ALC Ammendment (1st Round)</v>
      </c>
      <c r="C68" s="20">
        <f>[2]ALC!G68</f>
        <v>1.3240451565600644E-3</v>
      </c>
      <c r="D68" s="21">
        <f>[2]ALC!D68</f>
        <v>44461</v>
      </c>
      <c r="E68" s="22">
        <f>[2]ALC!E68</f>
        <v>44469</v>
      </c>
      <c r="F68" s="23">
        <v>1</v>
      </c>
      <c r="G68" s="23" t="str">
        <f t="shared" si="7"/>
        <v>100%</v>
      </c>
      <c r="H68" s="17">
        <f t="shared" si="8"/>
        <v>1.3240451565600644E-3</v>
      </c>
      <c r="I68" s="17">
        <v>1.3240451565600644E-3</v>
      </c>
      <c r="J68" s="17">
        <f t="shared" si="9"/>
        <v>0</v>
      </c>
      <c r="K68" s="26" t="str">
        <f>VLOOKUP(A68,'[2]MS Progress'!$A:$Q,6,FALSE)</f>
        <v>100%</v>
      </c>
      <c r="L68" s="18"/>
    </row>
    <row r="69" spans="1:12" ht="14.25" customHeight="1" x14ac:dyDescent="0.25">
      <c r="A69" s="25" t="str">
        <f>'[2]ALC-Master'!A69</f>
        <v>A1030.2.5</v>
      </c>
      <c r="B69" s="25" t="str">
        <f>'[2]ALC-Master'!C69</f>
        <v>ED2 Weighbridge System Package (Rev 0b) Review (2nd Round)</v>
      </c>
      <c r="C69" s="20">
        <f>[2]ALC!G69</f>
        <v>9.9303386742004827E-4</v>
      </c>
      <c r="D69" s="21">
        <f>[2]ALC!D69</f>
        <v>44470</v>
      </c>
      <c r="E69" s="22">
        <f>[2]ALC!E69</f>
        <v>44476</v>
      </c>
      <c r="F69" s="23">
        <v>1</v>
      </c>
      <c r="G69" s="23" t="str">
        <f t="shared" si="7"/>
        <v>100%</v>
      </c>
      <c r="H69" s="17">
        <f t="shared" si="8"/>
        <v>9.9303386742004827E-4</v>
      </c>
      <c r="I69" s="17">
        <v>9.9303386742004827E-4</v>
      </c>
      <c r="J69" s="17">
        <f t="shared" si="9"/>
        <v>0</v>
      </c>
      <c r="K69" s="26" t="str">
        <f>VLOOKUP(A69,'[2]MS Progress'!$A:$Q,6,FALSE)</f>
        <v>100%</v>
      </c>
      <c r="L69" s="18"/>
    </row>
    <row r="70" spans="1:12" ht="14.25" customHeight="1" x14ac:dyDescent="0.25">
      <c r="A70" s="25" t="str">
        <f>'[2]ALC-Master'!A70</f>
        <v>A1030.2.6</v>
      </c>
      <c r="B70" s="25" t="str">
        <f>'[2]ALC-Master'!C70</f>
        <v>ED2 Weighbridge System Package (Rev 0b) ALC Ammendment (2nd Round)</v>
      </c>
      <c r="C70" s="20">
        <f>[2]ALC!G70</f>
        <v>1.3240451565600644E-3</v>
      </c>
      <c r="D70" s="21">
        <f>[2]ALC!D70</f>
        <v>44476</v>
      </c>
      <c r="E70" s="22">
        <f>[2]ALC!E70</f>
        <v>44484</v>
      </c>
      <c r="F70" s="23">
        <v>1</v>
      </c>
      <c r="G70" s="23" t="str">
        <f t="shared" si="7"/>
        <v>100%</v>
      </c>
      <c r="H70" s="17">
        <f t="shared" si="8"/>
        <v>1.3240451565600644E-3</v>
      </c>
      <c r="I70" s="17">
        <v>1.3240451565600644E-3</v>
      </c>
      <c r="J70" s="17">
        <f t="shared" si="9"/>
        <v>0</v>
      </c>
      <c r="K70" s="26" t="str">
        <f>VLOOKUP(A70,'[2]MS Progress'!$A:$Q,6,FALSE)</f>
        <v>100%</v>
      </c>
      <c r="L70" s="18"/>
    </row>
    <row r="71" spans="1:12" ht="14.25" customHeight="1" x14ac:dyDescent="0.25">
      <c r="A71" s="25" t="str">
        <f>'[2]ALC-Master'!A71</f>
        <v>A1030.2.7</v>
      </c>
      <c r="B71" s="25" t="str">
        <f>'[2]ALC-Master'!C71</f>
        <v>ED2 Weighbridge System Package (Rev 0) Review by SO/ NEA</v>
      </c>
      <c r="C71" s="20">
        <f>[2]ALC!G71</f>
        <v>1.8205620902700887E-3</v>
      </c>
      <c r="D71" s="21">
        <f>[2]ALC!D71</f>
        <v>44687</v>
      </c>
      <c r="E71" s="22">
        <f>[2]ALC!E71</f>
        <v>44699</v>
      </c>
      <c r="F71" s="23">
        <v>1</v>
      </c>
      <c r="G71" s="23" t="str">
        <f t="shared" si="7"/>
        <v>100%</v>
      </c>
      <c r="H71" s="17">
        <f t="shared" si="8"/>
        <v>1.8205620902700887E-3</v>
      </c>
      <c r="I71" s="17">
        <v>1.8205620902700887E-3</v>
      </c>
      <c r="J71" s="17">
        <f t="shared" si="9"/>
        <v>0</v>
      </c>
      <c r="K71" s="26" t="str">
        <f>VLOOKUP(A71,'[2]MS Progress'!$A:$Q,6,FALSE)</f>
        <v>100%</v>
      </c>
      <c r="L71" s="18"/>
    </row>
    <row r="72" spans="1:12" ht="14.25" customHeight="1" x14ac:dyDescent="0.25">
      <c r="A72" s="25" t="str">
        <f>'[2]ALC-Master'!A72</f>
        <v>A1030.2.8</v>
      </c>
      <c r="B72" s="25" t="str">
        <f>'[2]ALC-Master'!C72</f>
        <v>ED2 Weighbridge System Package (Rev 1a) Ammendment by ALC on SO comments and Re-submission to KSPL</v>
      </c>
      <c r="C72" s="20">
        <f>[2]ALC!G72</f>
        <v>4.965169337100242E-3</v>
      </c>
      <c r="D72" s="21">
        <f>[2]ALC!D72</f>
        <v>44700</v>
      </c>
      <c r="E72" s="22">
        <f>[2]ALC!E72</f>
        <v>44734</v>
      </c>
      <c r="F72" s="23">
        <v>1</v>
      </c>
      <c r="G72" s="23" t="str">
        <f t="shared" si="7"/>
        <v>100%</v>
      </c>
      <c r="H72" s="17">
        <f t="shared" si="8"/>
        <v>4.965169337100242E-3</v>
      </c>
      <c r="I72" s="17">
        <v>4.965169337100242E-3</v>
      </c>
      <c r="J72" s="17">
        <f t="shared" si="9"/>
        <v>0</v>
      </c>
      <c r="K72" s="26" t="str">
        <f>VLOOKUP(A72,'[2]MS Progress'!$A:$Q,6,FALSE)</f>
        <v>100%</v>
      </c>
      <c r="L72" s="18"/>
    </row>
    <row r="73" spans="1:12" ht="14.25" customHeight="1" x14ac:dyDescent="0.25">
      <c r="A73" s="25" t="str">
        <f>'[2]ALC-Master'!A73</f>
        <v>A1030.2.9</v>
      </c>
      <c r="B73" s="25" t="str">
        <f>'[2]ALC-Master'!C73</f>
        <v>ED2 Weighbridge System Package (Rev 1a) Review (1st Round)</v>
      </c>
      <c r="C73" s="20">
        <f>[2]ALC!G73</f>
        <v>9.9303386742004827E-4</v>
      </c>
      <c r="D73" s="21">
        <f>[2]ALC!D73</f>
        <v>44735</v>
      </c>
      <c r="E73" s="22">
        <f>[2]ALC!E73</f>
        <v>44741</v>
      </c>
      <c r="F73" s="23">
        <v>1</v>
      </c>
      <c r="G73" s="23" t="str">
        <f t="shared" si="7"/>
        <v>100%</v>
      </c>
      <c r="H73" s="17">
        <f t="shared" si="8"/>
        <v>9.9303386742004827E-4</v>
      </c>
      <c r="I73" s="17">
        <v>9.9303386742004827E-4</v>
      </c>
      <c r="J73" s="17">
        <f t="shared" si="9"/>
        <v>0</v>
      </c>
      <c r="K73" s="26" t="str">
        <f>VLOOKUP(A73,'[2]MS Progress'!$A:$Q,6,FALSE)</f>
        <v>100%</v>
      </c>
      <c r="L73" s="18"/>
    </row>
    <row r="74" spans="1:12" ht="14.25" customHeight="1" x14ac:dyDescent="0.25">
      <c r="A74" s="25" t="str">
        <f>'[2]ALC-Master'!A74</f>
        <v>A1030.2.10</v>
      </c>
      <c r="B74" s="25" t="str">
        <f>'[2]ALC-Master'!C74</f>
        <v>ED2 Weighbridge System Package (Rev 1a) ALC Ammendment (1st Round)</v>
      </c>
      <c r="C74" s="20">
        <f>[2]ALC!G74</f>
        <v>4.3213523797229099E-3</v>
      </c>
      <c r="D74" s="21">
        <f>[2]ALC!D74</f>
        <v>44742</v>
      </c>
      <c r="E74" s="22">
        <f>[2]ALC!E74</f>
        <v>44774</v>
      </c>
      <c r="F74" s="23">
        <v>1</v>
      </c>
      <c r="G74" s="23" t="str">
        <f t="shared" si="7"/>
        <v>100%</v>
      </c>
      <c r="H74" s="17">
        <f t="shared" si="8"/>
        <v>4.3213523797229099E-3</v>
      </c>
      <c r="I74" s="17">
        <v>4.3213523797229099E-3</v>
      </c>
      <c r="J74" s="17">
        <f t="shared" si="9"/>
        <v>0</v>
      </c>
      <c r="K74" s="26" t="str">
        <f>VLOOKUP(A74,'[2]MS Progress'!$A:$Q,6,FALSE)</f>
        <v>100%</v>
      </c>
      <c r="L74" s="18"/>
    </row>
    <row r="75" spans="1:12" ht="14.25" customHeight="1" x14ac:dyDescent="0.25">
      <c r="A75" s="25" t="str">
        <f>'[2]ALC-Master'!A75</f>
        <v>A1030.2.11</v>
      </c>
      <c r="B75" s="25" t="str">
        <f>'[2]ALC-Master'!C75</f>
        <v>ED2 Weighbridge System Package (Rev 1b) Review (2nd Round)</v>
      </c>
      <c r="C75" s="20">
        <f>[2]ALC!G75</f>
        <v>1.1767451328927574E-3</v>
      </c>
      <c r="D75" s="21">
        <f>[2]ALC!D75</f>
        <v>44775</v>
      </c>
      <c r="E75" s="22">
        <f>[2]ALC!E75</f>
        <v>44784</v>
      </c>
      <c r="F75" s="23">
        <v>1</v>
      </c>
      <c r="G75" s="23" t="str">
        <f t="shared" si="7"/>
        <v>100%</v>
      </c>
      <c r="H75" s="17">
        <f t="shared" si="8"/>
        <v>1.1767451328927574E-3</v>
      </c>
      <c r="I75" s="17">
        <v>1.1767451328927574E-3</v>
      </c>
      <c r="J75" s="17">
        <f t="shared" si="9"/>
        <v>0</v>
      </c>
      <c r="K75" s="26" t="str">
        <f>VLOOKUP(A75,'[2]MS Progress'!$A:$Q,6,FALSE)</f>
        <v>100%</v>
      </c>
      <c r="L75" s="18"/>
    </row>
    <row r="76" spans="1:12" ht="14.25" customHeight="1" x14ac:dyDescent="0.25">
      <c r="A76" s="25" t="str">
        <f>'[2]ALC-Master'!A76</f>
        <v>A1030.2.12</v>
      </c>
      <c r="B76" s="25" t="str">
        <f>'[2]ALC-Master'!C76</f>
        <v>ED2 Weighbridge System Package (Rev 1b) ALC Ammendment (2nd Round)</v>
      </c>
      <c r="C76" s="20">
        <f>[2]ALC!G76</f>
        <v>1.3240451565600644E-3</v>
      </c>
      <c r="D76" s="21">
        <f>[2]ALC!D76</f>
        <v>44785</v>
      </c>
      <c r="E76" s="22">
        <f>[2]ALC!E76</f>
        <v>44793</v>
      </c>
      <c r="F76" s="23">
        <v>1</v>
      </c>
      <c r="G76" s="23" t="str">
        <f t="shared" si="7"/>
        <v>100%</v>
      </c>
      <c r="H76" s="17">
        <f t="shared" si="8"/>
        <v>1.3240451565600644E-3</v>
      </c>
      <c r="I76" s="17">
        <v>1.3240451565600644E-3</v>
      </c>
      <c r="J76" s="17">
        <f t="shared" si="9"/>
        <v>0</v>
      </c>
      <c r="K76" s="26" t="str">
        <f>VLOOKUP(A76,'[2]MS Progress'!$A:$Q,6,FALSE)</f>
        <v>100%</v>
      </c>
      <c r="L76" s="18"/>
    </row>
    <row r="77" spans="1:12" ht="14.25" customHeight="1" x14ac:dyDescent="0.25">
      <c r="A77" s="25" t="str">
        <f>'[2]ALC-Master'!A77</f>
        <v>A1030.2.13</v>
      </c>
      <c r="B77" s="25" t="str">
        <f>'[2]ALC-Master'!C77</f>
        <v>ED2 Weighbridge System Package (Rev 1) Review by SO/ NEA</v>
      </c>
      <c r="C77" s="20">
        <f>[2]ALC!G77</f>
        <v>1.6550564457000806E-3</v>
      </c>
      <c r="D77" s="21">
        <f>[2]ALC!D77</f>
        <v>44796</v>
      </c>
      <c r="E77" s="22">
        <f>[2]ALC!E77</f>
        <v>44806</v>
      </c>
      <c r="F77" s="23">
        <v>1</v>
      </c>
      <c r="G77" s="23" t="str">
        <f t="shared" si="7"/>
        <v>100%</v>
      </c>
      <c r="H77" s="17">
        <f t="shared" si="8"/>
        <v>1.6550564457000806E-3</v>
      </c>
      <c r="I77" s="17">
        <v>1.6550564457000806E-3</v>
      </c>
      <c r="J77" s="17">
        <f t="shared" si="9"/>
        <v>0</v>
      </c>
      <c r="K77" s="26" t="str">
        <f>VLOOKUP(A77,'[2]MS Progress'!$A:$Q,6,FALSE)</f>
        <v>100%</v>
      </c>
      <c r="L77" s="18"/>
    </row>
    <row r="78" spans="1:12" ht="14.25" customHeight="1" x14ac:dyDescent="0.25">
      <c r="A78" s="25" t="str">
        <f>'[2]ALC-Master'!A78</f>
        <v>A1030.2.14</v>
      </c>
      <c r="B78" s="25" t="str">
        <f>'[2]ALC-Master'!C78</f>
        <v>ED2 Weighbridge System Package (Review 2 and above monitored accepted with comments, No Re-submission Required)</v>
      </c>
      <c r="C78" s="20">
        <f>[2]ALC!G78</f>
        <v>4.4868580242929182E-3</v>
      </c>
      <c r="D78" s="21">
        <f>[2]ALC!D78</f>
        <v>44809</v>
      </c>
      <c r="E78" s="22">
        <f>[2]ALC!E78</f>
        <v>45121</v>
      </c>
      <c r="F78" s="23">
        <v>1</v>
      </c>
      <c r="G78" s="23" t="str">
        <f t="shared" si="7"/>
        <v>100%</v>
      </c>
      <c r="H78" s="17">
        <f t="shared" si="8"/>
        <v>4.4868580242929182E-3</v>
      </c>
      <c r="I78" s="17">
        <v>4.4868580242929182E-3</v>
      </c>
      <c r="J78" s="17">
        <f t="shared" si="9"/>
        <v>0</v>
      </c>
      <c r="K78" s="26" t="str">
        <f>VLOOKUP(A78,'[2]MS Progress'!$A:$Q,6,FALSE)</f>
        <v>100%</v>
      </c>
      <c r="L78" s="18"/>
    </row>
    <row r="79" spans="1:12" ht="14.25" customHeight="1" x14ac:dyDescent="0.25">
      <c r="A79" s="25" t="str">
        <f>'[2]ALC-Master'!A79</f>
        <v>A1030.3</v>
      </c>
      <c r="B79" s="25" t="str">
        <f>'[2]ALC-Master'!C79</f>
        <v>ED3 Preparation, Submission, Review &amp; Acceptance</v>
      </c>
      <c r="C79" s="20"/>
      <c r="D79" s="21"/>
      <c r="E79" s="22"/>
      <c r="F79" s="23"/>
      <c r="G79" s="23"/>
      <c r="H79" s="17"/>
      <c r="I79" s="17"/>
      <c r="J79" s="17"/>
      <c r="K79" s="18"/>
      <c r="L79" s="18"/>
    </row>
    <row r="80" spans="1:12" ht="14.25" customHeight="1" x14ac:dyDescent="0.25">
      <c r="A80" s="25" t="str">
        <f>'[2]ALC-Master'!A80</f>
        <v>A1030.3.1</v>
      </c>
      <c r="B80" s="25" t="str">
        <f>'[2]ALC-Master'!C80</f>
        <v>ED3 Weighbridge System Package (Rev 0a) Preparation by ALC</v>
      </c>
      <c r="C80" s="20">
        <f>[2]ALC!G80</f>
        <v>1.8205620902700887E-3</v>
      </c>
      <c r="D80" s="21">
        <f>[2]ALC!D80</f>
        <v>44807</v>
      </c>
      <c r="E80" s="22">
        <f>[2]ALC!E80</f>
        <v>44839</v>
      </c>
      <c r="F80" s="23">
        <v>1</v>
      </c>
      <c r="G80" s="23" t="str">
        <f t="shared" ref="G80:G93" si="10">K80</f>
        <v>100%</v>
      </c>
      <c r="H80" s="17">
        <f t="shared" ref="H80:H93" si="11">(G80/F80)*C80</f>
        <v>1.8205620902700887E-3</v>
      </c>
      <c r="I80" s="17">
        <v>1.8205620902700887E-3</v>
      </c>
      <c r="J80" s="17">
        <f t="shared" ref="J80:J93" si="12">H80-I80</f>
        <v>0</v>
      </c>
      <c r="K80" s="26" t="str">
        <f>VLOOKUP(A80,'[2]MS Progress'!$A:$Q,6,FALSE)</f>
        <v>100%</v>
      </c>
      <c r="L80" s="18"/>
    </row>
    <row r="81" spans="1:12" ht="14.25" customHeight="1" x14ac:dyDescent="0.25">
      <c r="A81" s="25" t="str">
        <f>'[2]ALC-Master'!A81</f>
        <v>A1030.3.2</v>
      </c>
      <c r="B81" s="25" t="str">
        <f>'[2]ALC-Master'!C81</f>
        <v>ED3 Weighbridge System Package (Rev 0a) Submission to KSPL</v>
      </c>
      <c r="C81" s="20">
        <f>[2]ALC!G81</f>
        <v>3.3101128914001611E-4</v>
      </c>
      <c r="D81" s="21">
        <f>[2]ALC!D81</f>
        <v>44838</v>
      </c>
      <c r="E81" s="22">
        <f>[2]ALC!E81</f>
        <v>44839</v>
      </c>
      <c r="F81" s="23">
        <v>1</v>
      </c>
      <c r="G81" s="23" t="str">
        <f t="shared" si="10"/>
        <v>100%</v>
      </c>
      <c r="H81" s="17">
        <f t="shared" si="11"/>
        <v>3.3101128914001611E-4</v>
      </c>
      <c r="I81" s="17">
        <v>3.3101128914001611E-4</v>
      </c>
      <c r="J81" s="17">
        <f t="shared" si="12"/>
        <v>0</v>
      </c>
      <c r="K81" s="26" t="str">
        <f>VLOOKUP(A81,'[2]MS Progress'!$A:$Q,6,FALSE)</f>
        <v>100%</v>
      </c>
      <c r="L81" s="18"/>
    </row>
    <row r="82" spans="1:12" ht="14.25" customHeight="1" x14ac:dyDescent="0.25">
      <c r="A82" s="25" t="str">
        <f>'[2]ALC-Master'!A82</f>
        <v>A1030.3.3</v>
      </c>
      <c r="B82" s="25" t="str">
        <f>'[2]ALC-Master'!C82</f>
        <v>ED3 Weighbridge System Package (Rev 0a) Review (1st Round)</v>
      </c>
      <c r="C82" s="20">
        <f>[2]ALC!G82</f>
        <v>3.3101128914001611E-4</v>
      </c>
      <c r="D82" s="21">
        <f>[2]ALC!D82</f>
        <v>44841</v>
      </c>
      <c r="E82" s="22">
        <f>[2]ALC!E82</f>
        <v>44853</v>
      </c>
      <c r="F82" s="23">
        <v>1</v>
      </c>
      <c r="G82" s="23" t="str">
        <f t="shared" si="10"/>
        <v>100%</v>
      </c>
      <c r="H82" s="17">
        <f t="shared" si="11"/>
        <v>3.3101128914001611E-4</v>
      </c>
      <c r="I82" s="17">
        <v>3.3101128914001611E-4</v>
      </c>
      <c r="J82" s="17">
        <f t="shared" si="12"/>
        <v>0</v>
      </c>
      <c r="K82" s="26" t="str">
        <f>VLOOKUP(A82,'[2]MS Progress'!$A:$Q,6,FALSE)</f>
        <v>100%</v>
      </c>
      <c r="L82" s="18"/>
    </row>
    <row r="83" spans="1:12" ht="14.25" customHeight="1" x14ac:dyDescent="0.25">
      <c r="A83" s="25" t="str">
        <f>'[2]ALC-Master'!A83</f>
        <v>A1030.3.4</v>
      </c>
      <c r="B83" s="25" t="str">
        <f>'[2]ALC-Master'!C83</f>
        <v>ED3 Weighbridge System Package (Rev 0a) ALC Ammendment (1st Round)</v>
      </c>
      <c r="C83" s="20">
        <f>[2]ALC!G83</f>
        <v>3.3101128914001611E-4</v>
      </c>
      <c r="D83" s="21">
        <f>[2]ALC!D83</f>
        <v>44854</v>
      </c>
      <c r="E83" s="22">
        <f>[2]ALC!E83</f>
        <v>44860</v>
      </c>
      <c r="F83" s="23">
        <v>1</v>
      </c>
      <c r="G83" s="23" t="str">
        <f t="shared" si="10"/>
        <v>100%</v>
      </c>
      <c r="H83" s="17">
        <f t="shared" si="11"/>
        <v>3.3101128914001611E-4</v>
      </c>
      <c r="I83" s="17">
        <v>3.3101128914001611E-4</v>
      </c>
      <c r="J83" s="17">
        <f t="shared" si="12"/>
        <v>0</v>
      </c>
      <c r="K83" s="26" t="str">
        <f>VLOOKUP(A83,'[2]MS Progress'!$A:$Q,6,FALSE)</f>
        <v>100%</v>
      </c>
      <c r="L83" s="18"/>
    </row>
    <row r="84" spans="1:12" ht="14.25" customHeight="1" x14ac:dyDescent="0.25">
      <c r="A84" s="25" t="str">
        <f>'[2]ALC-Master'!A84</f>
        <v>A1030.3.5</v>
      </c>
      <c r="B84" s="25" t="str">
        <f>'[2]ALC-Master'!C84</f>
        <v>ED3 Weighbridge System Package (Rev 0b) Review (2nd Round)</v>
      </c>
      <c r="C84" s="20">
        <f>[2]ALC!G84</f>
        <v>3.3101128914001611E-4</v>
      </c>
      <c r="D84" s="21">
        <f>[2]ALC!D84</f>
        <v>44862</v>
      </c>
      <c r="E84" s="22">
        <f>[2]ALC!E84</f>
        <v>44869</v>
      </c>
      <c r="F84" s="23">
        <v>1</v>
      </c>
      <c r="G84" s="23" t="str">
        <f t="shared" si="10"/>
        <v>100%</v>
      </c>
      <c r="H84" s="17">
        <f t="shared" si="11"/>
        <v>3.3101128914001611E-4</v>
      </c>
      <c r="I84" s="17">
        <v>3.3101128914001611E-4</v>
      </c>
      <c r="J84" s="17">
        <f t="shared" si="12"/>
        <v>0</v>
      </c>
      <c r="K84" s="26" t="str">
        <f>VLOOKUP(A84,'[2]MS Progress'!$A:$Q,6,FALSE)</f>
        <v>100%</v>
      </c>
      <c r="L84" s="18"/>
    </row>
    <row r="85" spans="1:12" ht="14.25" customHeight="1" x14ac:dyDescent="0.25">
      <c r="A85" s="25" t="str">
        <f>'[2]ALC-Master'!A85</f>
        <v>A1030.3.6</v>
      </c>
      <c r="B85" s="25" t="str">
        <f>'[2]ALC-Master'!C85</f>
        <v>ED3 Weighbridge System Package (Rev 0b) ALC Ammendment (2nd Round)</v>
      </c>
      <c r="C85" s="20">
        <f>[2]ALC!G85</f>
        <v>3.3101128914001611E-4</v>
      </c>
      <c r="D85" s="21">
        <f>[2]ALC!D85</f>
        <v>44870</v>
      </c>
      <c r="E85" s="22">
        <f>[2]ALC!E85</f>
        <v>44874</v>
      </c>
      <c r="F85" s="23">
        <v>1</v>
      </c>
      <c r="G85" s="23" t="str">
        <f t="shared" si="10"/>
        <v>100%</v>
      </c>
      <c r="H85" s="17">
        <f t="shared" si="11"/>
        <v>3.3101128914001611E-4</v>
      </c>
      <c r="I85" s="17">
        <v>3.3101128914001611E-4</v>
      </c>
      <c r="J85" s="17">
        <f t="shared" si="12"/>
        <v>0</v>
      </c>
      <c r="K85" s="26" t="str">
        <f>VLOOKUP(A85,'[2]MS Progress'!$A:$Q,6,FALSE)</f>
        <v>100%</v>
      </c>
      <c r="L85" s="18"/>
    </row>
    <row r="86" spans="1:12" ht="14.25" customHeight="1" x14ac:dyDescent="0.25">
      <c r="A86" s="25" t="str">
        <f>'[2]ALC-Master'!A86</f>
        <v>A1030.3.7</v>
      </c>
      <c r="B86" s="25" t="str">
        <f>'[2]ALC-Master'!C86</f>
        <v>ED3 Weighbridge System Package (Rev 0) Review by SO/ NEA</v>
      </c>
      <c r="C86" s="20">
        <f>[2]ALC!G86</f>
        <v>0</v>
      </c>
      <c r="D86" s="21">
        <f>[2]ALC!D86</f>
        <v>44874</v>
      </c>
      <c r="E86" s="22">
        <f>[2]ALC!E86</f>
        <v>44872</v>
      </c>
      <c r="F86" s="23">
        <v>1</v>
      </c>
      <c r="G86" s="23" t="str">
        <f t="shared" si="10"/>
        <v>100%</v>
      </c>
      <c r="H86" s="17">
        <f t="shared" si="11"/>
        <v>0</v>
      </c>
      <c r="I86" s="17">
        <v>0</v>
      </c>
      <c r="J86" s="17">
        <f t="shared" si="12"/>
        <v>0</v>
      </c>
      <c r="K86" s="26" t="str">
        <f>VLOOKUP(A86,'[2]MS Progress'!$A:$Q,6,FALSE)</f>
        <v>100%</v>
      </c>
      <c r="L86" s="18"/>
    </row>
    <row r="87" spans="1:12" ht="14.25" customHeight="1" x14ac:dyDescent="0.25">
      <c r="A87" s="25" t="str">
        <f>'[2]ALC-Master'!A87</f>
        <v>A1030.3.8</v>
      </c>
      <c r="B87" s="25" t="str">
        <f>'[2]ALC-Master'!C87</f>
        <v>ED3 Weighbridge System Package (Rev 1a) Ammendment by ALC on SO comments and Re-submission to KSPL</v>
      </c>
      <c r="C87" s="20">
        <f>[2]ALC!G87</f>
        <v>9.2683160959204506E-4</v>
      </c>
      <c r="D87" s="21">
        <f>[2]ALC!D87</f>
        <v>44893</v>
      </c>
      <c r="E87" s="22">
        <f>[2]ALC!E87</f>
        <v>44900</v>
      </c>
      <c r="F87" s="23">
        <v>1</v>
      </c>
      <c r="G87" s="23" t="str">
        <f t="shared" si="10"/>
        <v>100%</v>
      </c>
      <c r="H87" s="17">
        <f t="shared" si="11"/>
        <v>9.2683160959204506E-4</v>
      </c>
      <c r="I87" s="17">
        <v>9.2683160959204506E-4</v>
      </c>
      <c r="J87" s="17">
        <f t="shared" si="12"/>
        <v>0</v>
      </c>
      <c r="K87" s="26" t="str">
        <f>VLOOKUP(A87,'[2]MS Progress'!$A:$Q,6,FALSE)</f>
        <v>100%</v>
      </c>
      <c r="L87" s="18"/>
    </row>
    <row r="88" spans="1:12" ht="14.25" customHeight="1" x14ac:dyDescent="0.25">
      <c r="A88" s="25" t="str">
        <f>'[2]ALC-Master'!A88</f>
        <v>A1030.3.9</v>
      </c>
      <c r="B88" s="25" t="str">
        <f>'[2]ALC-Master'!C88</f>
        <v>ED3 Weighbridge System Package (Rev 1a) Review (1st Round)</v>
      </c>
      <c r="C88" s="20">
        <f>[2]ALC!G88</f>
        <v>1.6550564457000805E-4</v>
      </c>
      <c r="D88" s="21">
        <f>[2]ALC!D88</f>
        <v>44901</v>
      </c>
      <c r="E88" s="22">
        <f>[2]ALC!E88</f>
        <v>44907</v>
      </c>
      <c r="F88" s="23">
        <v>1</v>
      </c>
      <c r="G88" s="23" t="str">
        <f t="shared" si="10"/>
        <v>100%</v>
      </c>
      <c r="H88" s="17">
        <f t="shared" si="11"/>
        <v>1.6550564457000805E-4</v>
      </c>
      <c r="I88" s="17">
        <v>1.6550564457000805E-4</v>
      </c>
      <c r="J88" s="17">
        <f t="shared" si="12"/>
        <v>0</v>
      </c>
      <c r="K88" s="26" t="str">
        <f>VLOOKUP(A88,'[2]MS Progress'!$A:$Q,6,FALSE)</f>
        <v>100%</v>
      </c>
      <c r="L88" s="18"/>
    </row>
    <row r="89" spans="1:12" ht="14.25" customHeight="1" x14ac:dyDescent="0.25">
      <c r="A89" s="25" t="str">
        <f>'[2]ALC-Master'!A89</f>
        <v>A1030.3.10</v>
      </c>
      <c r="B89" s="25" t="str">
        <f>'[2]ALC-Master'!C89</f>
        <v>ED3 Weighbridge System Package (Rev 1a) ALC Ammendment (1st Round)</v>
      </c>
      <c r="C89" s="20">
        <f>[2]ALC!G89</f>
        <v>0</v>
      </c>
      <c r="D89" s="21">
        <f>[2]ALC!D89</f>
        <v>44908</v>
      </c>
      <c r="E89" s="22">
        <f>[2]ALC!E89</f>
        <v>44911</v>
      </c>
      <c r="F89" s="23">
        <v>1</v>
      </c>
      <c r="G89" s="23" t="str">
        <f t="shared" si="10"/>
        <v>100%</v>
      </c>
      <c r="H89" s="17">
        <f t="shared" si="11"/>
        <v>0</v>
      </c>
      <c r="I89" s="17">
        <v>0</v>
      </c>
      <c r="J89" s="17">
        <f t="shared" si="12"/>
        <v>0</v>
      </c>
      <c r="K89" s="26" t="str">
        <f>VLOOKUP(A89,'[2]MS Progress'!$A:$Q,6,FALSE)</f>
        <v>100%</v>
      </c>
      <c r="L89" s="18"/>
    </row>
    <row r="90" spans="1:12" ht="14.25" customHeight="1" x14ac:dyDescent="0.25">
      <c r="A90" s="25" t="str">
        <f>'[2]ALC-Master'!A90</f>
        <v>A1030.3.11</v>
      </c>
      <c r="B90" s="25" t="str">
        <f>'[2]ALC-Master'!C90</f>
        <v>ED3 Weighbridge System Package (Rev 1b) Review (2nd Round)</v>
      </c>
      <c r="C90" s="20">
        <f>[2]ALC!G90</f>
        <v>1.6550564457000805E-4</v>
      </c>
      <c r="D90" s="21">
        <f>[2]ALC!D90</f>
        <v>44912</v>
      </c>
      <c r="E90" s="22">
        <f>[2]ALC!E90</f>
        <v>44918</v>
      </c>
      <c r="F90" s="23">
        <v>1</v>
      </c>
      <c r="G90" s="23" t="str">
        <f t="shared" si="10"/>
        <v>100%</v>
      </c>
      <c r="H90" s="17">
        <f t="shared" si="11"/>
        <v>1.6550564457000805E-4</v>
      </c>
      <c r="I90" s="17">
        <v>1.6550564457000805E-4</v>
      </c>
      <c r="J90" s="17">
        <f t="shared" si="12"/>
        <v>0</v>
      </c>
      <c r="K90" s="26" t="str">
        <f>VLOOKUP(A90,'[2]MS Progress'!$A:$Q,6,FALSE)</f>
        <v>100%</v>
      </c>
      <c r="L90" s="18"/>
    </row>
    <row r="91" spans="1:12" ht="14.25" customHeight="1" x14ac:dyDescent="0.25">
      <c r="A91" s="25" t="str">
        <f>'[2]ALC-Master'!A91</f>
        <v>A1030.3.12</v>
      </c>
      <c r="B91" s="25" t="str">
        <f>'[2]ALC-Master'!C91</f>
        <v>ED3 Weighbridge System Package (Rev 1b) ALC Ammendment (2nd Round)</v>
      </c>
      <c r="C91" s="20">
        <f>[2]ALC!G91</f>
        <v>9.9303386742004827E-4</v>
      </c>
      <c r="D91" s="21">
        <f>[2]ALC!D91</f>
        <v>44919</v>
      </c>
      <c r="E91" s="22">
        <f>[2]ALC!E91</f>
        <v>44924</v>
      </c>
      <c r="F91" s="23">
        <v>1</v>
      </c>
      <c r="G91" s="23" t="str">
        <f t="shared" si="10"/>
        <v>100%</v>
      </c>
      <c r="H91" s="17">
        <f t="shared" si="11"/>
        <v>9.9303386742004827E-4</v>
      </c>
      <c r="I91" s="17">
        <v>9.9303386742004827E-4</v>
      </c>
      <c r="J91" s="17">
        <f t="shared" si="12"/>
        <v>0</v>
      </c>
      <c r="K91" s="26" t="str">
        <f>VLOOKUP(A91,'[2]MS Progress'!$A:$Q,6,FALSE)</f>
        <v>100%</v>
      </c>
      <c r="L91" s="18"/>
    </row>
    <row r="92" spans="1:12" ht="14.25" customHeight="1" x14ac:dyDescent="0.25">
      <c r="A92" s="25" t="str">
        <f>'[2]ALC-Master'!A92</f>
        <v>A1030.3.13</v>
      </c>
      <c r="B92" s="25" t="str">
        <f>'[2]ALC-Master'!C92</f>
        <v>ED3 Weighbridge System Package (Rev 1) Review by SO/ NEA</v>
      </c>
      <c r="C92" s="20">
        <f>[2]ALC!G92</f>
        <v>2.979101602260145E-3</v>
      </c>
      <c r="D92" s="21">
        <f>[2]ALC!D92</f>
        <v>44926</v>
      </c>
      <c r="E92" s="22">
        <f>[2]ALC!E92</f>
        <v>44945</v>
      </c>
      <c r="F92" s="23">
        <v>1</v>
      </c>
      <c r="G92" s="23" t="str">
        <f t="shared" si="10"/>
        <v>100%</v>
      </c>
      <c r="H92" s="17">
        <f t="shared" si="11"/>
        <v>2.979101602260145E-3</v>
      </c>
      <c r="I92" s="17">
        <v>2.979101602260145E-3</v>
      </c>
      <c r="J92" s="17">
        <f t="shared" si="12"/>
        <v>0</v>
      </c>
      <c r="K92" s="26" t="str">
        <f>VLOOKUP(A92,'[2]MS Progress'!$A:$Q,6,FALSE)</f>
        <v>100%</v>
      </c>
      <c r="L92" s="18"/>
    </row>
    <row r="93" spans="1:12" ht="14.25" customHeight="1" x14ac:dyDescent="0.25">
      <c r="A93" s="25" t="str">
        <f>'[2]ALC-Master'!A93</f>
        <v>A1030.3.13</v>
      </c>
      <c r="B93" s="25" t="str">
        <f>'[2]ALC-Master'!C93</f>
        <v>ED3 Weighbridge System Package (Review 2 and above monitored accepted with comments, No Re-submission Required)</v>
      </c>
      <c r="C93" s="20">
        <f>[2]ALC!G93</f>
        <v>4.4686524033902171E-3</v>
      </c>
      <c r="D93" s="21">
        <f>[2]ALC!D93</f>
        <v>45098</v>
      </c>
      <c r="E93" s="22">
        <f>[2]ALC!E93</f>
        <v>45129</v>
      </c>
      <c r="F93" s="23">
        <v>1</v>
      </c>
      <c r="G93" s="23" t="str">
        <f t="shared" si="10"/>
        <v>100%</v>
      </c>
      <c r="H93" s="17">
        <f t="shared" si="11"/>
        <v>4.4686524033902171E-3</v>
      </c>
      <c r="I93" s="17">
        <v>4.4686524033902171E-3</v>
      </c>
      <c r="J93" s="17">
        <f t="shared" si="12"/>
        <v>0</v>
      </c>
      <c r="K93" s="26" t="str">
        <f>VLOOKUP(A93,'[2]MS Progress'!$A:$Q,6,FALSE)</f>
        <v>100%</v>
      </c>
      <c r="L93" s="18"/>
    </row>
    <row r="94" spans="1:12" ht="14.25" customHeight="1" x14ac:dyDescent="0.25">
      <c r="A94" s="25" t="str">
        <f>'[2]ALC-Master'!A94</f>
        <v>A1030.4</v>
      </c>
      <c r="B94" s="25" t="str">
        <f>'[2]ALC-Master'!C94</f>
        <v>AD3 Preparation, Submission, Review &amp; Acceptance</v>
      </c>
      <c r="C94" s="20"/>
      <c r="D94" s="21"/>
      <c r="E94" s="22"/>
      <c r="F94" s="23"/>
      <c r="G94" s="23"/>
      <c r="H94" s="17"/>
      <c r="I94" s="17"/>
      <c r="J94" s="17"/>
      <c r="K94" s="18"/>
      <c r="L94" s="18"/>
    </row>
    <row r="95" spans="1:12" ht="14.25" customHeight="1" x14ac:dyDescent="0.25">
      <c r="A95" s="25" t="str">
        <f>'[2]ALC-Master'!A95</f>
        <v>A1030.4.1</v>
      </c>
      <c r="B95" s="25" t="str">
        <f>'[2]ALC-Master'!C95</f>
        <v>AD3 Weighbridge System Package (Rev 0a) Preparation by ALC</v>
      </c>
      <c r="C95" s="20">
        <f>[2]ALC!G95</f>
        <v>2.0522699926680998E-2</v>
      </c>
      <c r="D95" s="21">
        <f>[2]ALC!D95</f>
        <v>44602</v>
      </c>
      <c r="E95" s="22">
        <f>[2]ALC!E95</f>
        <v>44749</v>
      </c>
      <c r="F95" s="23">
        <v>1</v>
      </c>
      <c r="G95" s="23" t="str">
        <f t="shared" ref="G95:G108" si="13">K95</f>
        <v>100%</v>
      </c>
      <c r="H95" s="17">
        <f t="shared" ref="H95:H108" si="14">(G95/F95)*C95</f>
        <v>2.0522699926680998E-2</v>
      </c>
      <c r="I95" s="17">
        <v>2.0522699926680998E-2</v>
      </c>
      <c r="J95" s="17">
        <f t="shared" ref="J95:J108" si="15">H95-I95</f>
        <v>0</v>
      </c>
      <c r="K95" s="26" t="str">
        <f>VLOOKUP(A95,'[2]MS Progress'!$A:$Q,6,FALSE)</f>
        <v>100%</v>
      </c>
      <c r="L95" s="18"/>
    </row>
    <row r="96" spans="1:12" ht="14.25" customHeight="1" x14ac:dyDescent="0.25">
      <c r="A96" s="25" t="str">
        <f>'[2]ALC-Master'!A96</f>
        <v>A1030.4.2</v>
      </c>
      <c r="B96" s="25" t="str">
        <f>'[2]ALC-Master'!C96</f>
        <v>AD3 Weighbridge System Package (Rev 0a) Submission to KSPL</v>
      </c>
      <c r="C96" s="20">
        <f>[2]ALC!G96</f>
        <v>2.979101602260145E-3</v>
      </c>
      <c r="D96" s="21">
        <f>[2]ALC!D96</f>
        <v>44750</v>
      </c>
      <c r="E96" s="22">
        <f>[2]ALC!E96</f>
        <v>44762</v>
      </c>
      <c r="F96" s="23">
        <v>1</v>
      </c>
      <c r="G96" s="23" t="str">
        <f t="shared" si="13"/>
        <v>100%</v>
      </c>
      <c r="H96" s="17">
        <f t="shared" si="14"/>
        <v>2.979101602260145E-3</v>
      </c>
      <c r="I96" s="17">
        <v>2.979101602260145E-3</v>
      </c>
      <c r="J96" s="17">
        <f t="shared" si="15"/>
        <v>0</v>
      </c>
      <c r="K96" s="26" t="str">
        <f>VLOOKUP(A96,'[2]MS Progress'!$A:$Q,6,FALSE)</f>
        <v>100%</v>
      </c>
      <c r="L96" s="18"/>
    </row>
    <row r="97" spans="1:12" ht="14.25" customHeight="1" x14ac:dyDescent="0.25">
      <c r="A97" s="25" t="str">
        <f>'[2]ALC-Master'!A97</f>
        <v>A1030.4.3</v>
      </c>
      <c r="B97" s="25" t="str">
        <f>'[2]ALC-Master'!C97</f>
        <v>AD3 Weighbridge System Package (Rev 0a) Review (1st Round)</v>
      </c>
      <c r="C97" s="20">
        <f>[2]ALC!G97</f>
        <v>3.3101128914001611E-4</v>
      </c>
      <c r="D97" s="21">
        <f>[2]ALC!D97</f>
        <v>44763</v>
      </c>
      <c r="E97" s="22">
        <f>[2]ALC!E97</f>
        <v>44764</v>
      </c>
      <c r="F97" s="23">
        <v>1</v>
      </c>
      <c r="G97" s="23" t="str">
        <f t="shared" si="13"/>
        <v>100%</v>
      </c>
      <c r="H97" s="17">
        <f t="shared" si="14"/>
        <v>3.3101128914001611E-4</v>
      </c>
      <c r="I97" s="17">
        <v>3.3101128914001611E-4</v>
      </c>
      <c r="J97" s="17">
        <f t="shared" si="15"/>
        <v>0</v>
      </c>
      <c r="K97" s="26" t="str">
        <f>VLOOKUP(A97,'[2]MS Progress'!$A:$Q,6,FALSE)</f>
        <v>100%</v>
      </c>
      <c r="L97" s="18"/>
    </row>
    <row r="98" spans="1:12" ht="14.25" customHeight="1" x14ac:dyDescent="0.25">
      <c r="A98" s="25" t="str">
        <f>'[2]ALC-Master'!A98</f>
        <v>A1030.4.4</v>
      </c>
      <c r="B98" s="25" t="str">
        <f>'[2]ALC-Master'!C98</f>
        <v>AD3 Weighbridge System Package (Rev 0a) ALC Ammendment (1st Round)</v>
      </c>
      <c r="C98" s="20">
        <f>[2]ALC!G98</f>
        <v>2.979101602260145E-3</v>
      </c>
      <c r="D98" s="21">
        <f>[2]ALC!D98</f>
        <v>44764</v>
      </c>
      <c r="E98" s="22">
        <f>[2]ALC!E98</f>
        <v>44770</v>
      </c>
      <c r="F98" s="23">
        <v>1</v>
      </c>
      <c r="G98" s="23" t="str">
        <f t="shared" si="13"/>
        <v>100%</v>
      </c>
      <c r="H98" s="17">
        <f t="shared" si="14"/>
        <v>2.979101602260145E-3</v>
      </c>
      <c r="I98" s="17">
        <v>2.979101602260145E-3</v>
      </c>
      <c r="J98" s="17">
        <f t="shared" si="15"/>
        <v>0</v>
      </c>
      <c r="K98" s="26" t="str">
        <f>VLOOKUP(A98,'[2]MS Progress'!$A:$Q,6,FALSE)</f>
        <v>100%</v>
      </c>
      <c r="L98" s="18"/>
    </row>
    <row r="99" spans="1:12" ht="14.25" customHeight="1" x14ac:dyDescent="0.25">
      <c r="A99" s="25" t="str">
        <f>'[2]ALC-Master'!A99</f>
        <v>A1030.4.5</v>
      </c>
      <c r="B99" s="25" t="str">
        <f>'[2]ALC-Master'!C99</f>
        <v>AD3 Weighbridge System Package (Rev 0b) Review (2nd Round)</v>
      </c>
      <c r="C99" s="20">
        <f>[2]ALC!G99</f>
        <v>1.3240451565600644E-3</v>
      </c>
      <c r="D99" s="21">
        <f>[2]ALC!D99</f>
        <v>44771</v>
      </c>
      <c r="E99" s="22">
        <f>[2]ALC!E99</f>
        <v>44809</v>
      </c>
      <c r="F99" s="23">
        <v>1</v>
      </c>
      <c r="G99" s="23" t="str">
        <f t="shared" si="13"/>
        <v>100%</v>
      </c>
      <c r="H99" s="17">
        <f t="shared" si="14"/>
        <v>1.3240451565600644E-3</v>
      </c>
      <c r="I99" s="17">
        <v>1.3240451565600644E-3</v>
      </c>
      <c r="J99" s="17">
        <f t="shared" si="15"/>
        <v>0</v>
      </c>
      <c r="K99" s="26" t="str">
        <f>VLOOKUP(A99,'[2]MS Progress'!$A:$Q,6,FALSE)</f>
        <v>100%</v>
      </c>
      <c r="L99" s="18"/>
    </row>
    <row r="100" spans="1:12" ht="14.25" customHeight="1" x14ac:dyDescent="0.25">
      <c r="A100" s="25" t="str">
        <f>'[2]ALC-Master'!A100</f>
        <v>A1030.4.6</v>
      </c>
      <c r="B100" s="25" t="str">
        <f>'[2]ALC-Master'!C100</f>
        <v>AD3 Weighbridge System Package (Rev 0b) ALC Ammendment (2nd Round)</v>
      </c>
      <c r="C100" s="20">
        <f>[2]ALC!G100</f>
        <v>3.3101128914001611E-4</v>
      </c>
      <c r="D100" s="21">
        <f>[2]ALC!D100</f>
        <v>44811</v>
      </c>
      <c r="E100" s="22">
        <f>[2]ALC!E100</f>
        <v>44818</v>
      </c>
      <c r="F100" s="23">
        <v>1</v>
      </c>
      <c r="G100" s="23" t="str">
        <f t="shared" si="13"/>
        <v>100%</v>
      </c>
      <c r="H100" s="17">
        <f t="shared" si="14"/>
        <v>3.3101128914001611E-4</v>
      </c>
      <c r="I100" s="17">
        <v>3.3101128914001611E-4</v>
      </c>
      <c r="J100" s="17">
        <f t="shared" si="15"/>
        <v>0</v>
      </c>
      <c r="K100" s="26" t="str">
        <f>VLOOKUP(A100,'[2]MS Progress'!$A:$Q,6,FALSE)</f>
        <v>100%</v>
      </c>
      <c r="L100" s="18"/>
    </row>
    <row r="101" spans="1:12" ht="14.25" customHeight="1" x14ac:dyDescent="0.25">
      <c r="A101" s="25" t="str">
        <f>'[2]ALC-Master'!A101</f>
        <v>A1030.4.7</v>
      </c>
      <c r="B101" s="25" t="str">
        <f>'[2]ALC-Master'!C101</f>
        <v>AD3 Weighbridge System Package (Rev 0) Review by SO/ NEA</v>
      </c>
      <c r="C101" s="20">
        <f>[2]ALC!G101</f>
        <v>0</v>
      </c>
      <c r="D101" s="21">
        <f>[2]ALC!D101</f>
        <v>44818</v>
      </c>
      <c r="E101" s="22">
        <f>[2]ALC!E101</f>
        <v>44831</v>
      </c>
      <c r="F101" s="23">
        <v>1</v>
      </c>
      <c r="G101" s="23" t="str">
        <f t="shared" si="13"/>
        <v>100%</v>
      </c>
      <c r="H101" s="17">
        <f t="shared" si="14"/>
        <v>0</v>
      </c>
      <c r="I101" s="17">
        <v>0</v>
      </c>
      <c r="J101" s="17">
        <f t="shared" si="15"/>
        <v>0</v>
      </c>
      <c r="K101" s="26" t="str">
        <f>VLOOKUP(A101,'[2]MS Progress'!$A:$Q,6,FALSE)</f>
        <v>100%</v>
      </c>
      <c r="L101" s="18"/>
    </row>
    <row r="102" spans="1:12" ht="14.25" customHeight="1" x14ac:dyDescent="0.25">
      <c r="A102" s="25" t="str">
        <f>'[2]ALC-Master'!A102</f>
        <v>A1030.4.8</v>
      </c>
      <c r="B102" s="25" t="str">
        <f>'[2]ALC-Master'!C102</f>
        <v>AD3 Weighbridge System Package (Rev 1a) Ammendment by ALC on SO comments and Re-submission to KSPL</v>
      </c>
      <c r="C102" s="20">
        <f>[2]ALC!G102</f>
        <v>6.1237088490902983E-3</v>
      </c>
      <c r="D102" s="21">
        <f>[2]ALC!D102</f>
        <v>44833</v>
      </c>
      <c r="E102" s="22">
        <f>[2]ALC!E102</f>
        <v>44838</v>
      </c>
      <c r="F102" s="23">
        <v>1</v>
      </c>
      <c r="G102" s="23" t="str">
        <f t="shared" si="13"/>
        <v>100%</v>
      </c>
      <c r="H102" s="17">
        <f t="shared" si="14"/>
        <v>6.1237088490902983E-3</v>
      </c>
      <c r="I102" s="17">
        <v>6.1237088490902983E-3</v>
      </c>
      <c r="J102" s="17">
        <f t="shared" si="15"/>
        <v>0</v>
      </c>
      <c r="K102" s="26" t="str">
        <f>VLOOKUP(A102,'[2]MS Progress'!$A:$Q,6,FALSE)</f>
        <v>100%</v>
      </c>
      <c r="L102" s="18"/>
    </row>
    <row r="103" spans="1:12" ht="14.25" customHeight="1" x14ac:dyDescent="0.25">
      <c r="A103" s="25" t="str">
        <f>'[2]ALC-Master'!A103</f>
        <v>A1030.4.9</v>
      </c>
      <c r="B103" s="25" t="str">
        <f>'[2]ALC-Master'!C103</f>
        <v>AD3 Weighbridge System Package (Rev 1a) Review (1st Round)</v>
      </c>
      <c r="C103" s="20">
        <f>[2]ALC!G103</f>
        <v>3.3101128914001612E-3</v>
      </c>
      <c r="D103" s="21">
        <f>[2]ALC!D103</f>
        <v>44839</v>
      </c>
      <c r="E103" s="22">
        <f>[2]ALC!E103</f>
        <v>44895</v>
      </c>
      <c r="F103" s="23">
        <v>1</v>
      </c>
      <c r="G103" s="23" t="str">
        <f t="shared" si="13"/>
        <v>100%</v>
      </c>
      <c r="H103" s="17">
        <f t="shared" si="14"/>
        <v>3.3101128914001612E-3</v>
      </c>
      <c r="I103" s="17">
        <v>3.3101128914001612E-3</v>
      </c>
      <c r="J103" s="17">
        <f t="shared" si="15"/>
        <v>0</v>
      </c>
      <c r="K103" s="26" t="str">
        <f>VLOOKUP(A103,'[2]MS Progress'!$A:$Q,6,FALSE)</f>
        <v>100%</v>
      </c>
      <c r="L103" s="18"/>
    </row>
    <row r="104" spans="1:12" ht="14.25" customHeight="1" x14ac:dyDescent="0.25">
      <c r="A104" s="25" t="str">
        <f>'[2]ALC-Master'!A104</f>
        <v>A1030.4.10</v>
      </c>
      <c r="B104" s="25" t="str">
        <f>'[2]ALC-Master'!C104</f>
        <v>AD3 Weighbridge System Package (Rev 1a) ALC Ammendment (1st Round)</v>
      </c>
      <c r="C104" s="20">
        <f>[2]ALC!G104</f>
        <v>4.1376411142502014E-3</v>
      </c>
      <c r="D104" s="21">
        <f>[2]ALC!D104</f>
        <v>44896</v>
      </c>
      <c r="E104" s="22">
        <f>[2]ALC!E104</f>
        <v>44925</v>
      </c>
      <c r="F104" s="23">
        <v>1</v>
      </c>
      <c r="G104" s="23" t="str">
        <f t="shared" si="13"/>
        <v>100%</v>
      </c>
      <c r="H104" s="17">
        <f t="shared" si="14"/>
        <v>4.1376411142502014E-3</v>
      </c>
      <c r="I104" s="17">
        <v>4.1376411142502014E-3</v>
      </c>
      <c r="J104" s="17">
        <f t="shared" si="15"/>
        <v>0</v>
      </c>
      <c r="K104" s="26" t="str">
        <f>VLOOKUP(A104,'[2]MS Progress'!$A:$Q,6,FALSE)</f>
        <v>100%</v>
      </c>
      <c r="L104" s="18"/>
    </row>
    <row r="105" spans="1:12" ht="14.25" customHeight="1" x14ac:dyDescent="0.25">
      <c r="A105" s="25" t="str">
        <f>'[2]ALC-Master'!A105</f>
        <v>A1030.4.11</v>
      </c>
      <c r="B105" s="25" t="str">
        <f>'[2]ALC-Master'!C105</f>
        <v>AD3 Weighbridge System Package (Rev 1b) Review (2nd Round)</v>
      </c>
      <c r="C105" s="20">
        <f>[2]ALC!G105</f>
        <v>1.1585395119900564E-3</v>
      </c>
      <c r="D105" s="21">
        <f>[2]ALC!D105</f>
        <v>44926</v>
      </c>
      <c r="E105" s="22">
        <f>[2]ALC!E105</f>
        <v>44935</v>
      </c>
      <c r="F105" s="23">
        <v>1</v>
      </c>
      <c r="G105" s="23" t="str">
        <f t="shared" si="13"/>
        <v>100%</v>
      </c>
      <c r="H105" s="17">
        <f t="shared" si="14"/>
        <v>1.1585395119900564E-3</v>
      </c>
      <c r="I105" s="17">
        <v>1.1585395119900564E-3</v>
      </c>
      <c r="J105" s="17">
        <f t="shared" si="15"/>
        <v>0</v>
      </c>
      <c r="K105" s="26" t="str">
        <f>VLOOKUP(A105,'[2]MS Progress'!$A:$Q,6,FALSE)</f>
        <v>100%</v>
      </c>
      <c r="L105" s="18"/>
    </row>
    <row r="106" spans="1:12" ht="14.25" customHeight="1" x14ac:dyDescent="0.25">
      <c r="A106" s="25" t="str">
        <f>'[2]ALC-Master'!A106</f>
        <v>A1030.4.12</v>
      </c>
      <c r="B106" s="25" t="str">
        <f>'[2]ALC-Master'!C106</f>
        <v>AD3 Weighbridge System Package (Rev 1b) ALC Ammendment (2nd Round)</v>
      </c>
      <c r="C106" s="20">
        <f>[2]ALC!G106</f>
        <v>6.6202257828003222E-4</v>
      </c>
      <c r="D106" s="21">
        <f>[2]ALC!D106</f>
        <v>44936</v>
      </c>
      <c r="E106" s="22">
        <f>[2]ALC!E106</f>
        <v>44939</v>
      </c>
      <c r="F106" s="23">
        <v>1</v>
      </c>
      <c r="G106" s="23" t="str">
        <f t="shared" si="13"/>
        <v>100%</v>
      </c>
      <c r="H106" s="17">
        <f t="shared" si="14"/>
        <v>6.6202257828003222E-4</v>
      </c>
      <c r="I106" s="17">
        <v>6.6202257828003222E-4</v>
      </c>
      <c r="J106" s="17">
        <f t="shared" si="15"/>
        <v>0</v>
      </c>
      <c r="K106" s="26" t="str">
        <f>VLOOKUP(A106,'[2]MS Progress'!$A:$Q,6,FALSE)</f>
        <v>100%</v>
      </c>
      <c r="L106" s="18"/>
    </row>
    <row r="107" spans="1:12" ht="14.25" customHeight="1" x14ac:dyDescent="0.25">
      <c r="A107" s="25" t="str">
        <f>'[2]ALC-Master'!A107</f>
        <v>A1030.4.13</v>
      </c>
      <c r="B107" s="25" t="str">
        <f>'[2]ALC-Master'!C107</f>
        <v>AD3 Weighbridge System Package (Rev 1) Review by SO/ NEA</v>
      </c>
      <c r="C107" s="20">
        <f>[2]ALC!G107</f>
        <v>0</v>
      </c>
      <c r="D107" s="21">
        <f>[2]ALC!D107</f>
        <v>44940</v>
      </c>
      <c r="E107" s="22">
        <f>[2]ALC!E107</f>
        <v>44961</v>
      </c>
      <c r="F107" s="23">
        <v>1</v>
      </c>
      <c r="G107" s="23" t="str">
        <f t="shared" si="13"/>
        <v>100%</v>
      </c>
      <c r="H107" s="17">
        <f t="shared" si="14"/>
        <v>0</v>
      </c>
      <c r="I107" s="17">
        <v>0</v>
      </c>
      <c r="J107" s="17">
        <f t="shared" si="15"/>
        <v>0</v>
      </c>
      <c r="K107" s="26" t="str">
        <f>VLOOKUP(A107,'[2]MS Progress'!$A:$Q,6,FALSE)</f>
        <v>100%</v>
      </c>
      <c r="L107" s="18"/>
    </row>
    <row r="108" spans="1:12" ht="14.25" customHeight="1" x14ac:dyDescent="0.25">
      <c r="A108" s="25" t="str">
        <f>'[2]ALC-Master'!A108</f>
        <v>A1030.4.14</v>
      </c>
      <c r="B108" s="25" t="str">
        <f>'[2]ALC-Master'!C108</f>
        <v>AD3 Weighbridge System Package (Review 2 and above monitored accepted with comments, No Re-submission Required)</v>
      </c>
      <c r="C108" s="20">
        <f>[2]ALC!G108</f>
        <v>2.6480903131201289E-3</v>
      </c>
      <c r="D108" s="21">
        <f>[2]ALC!D108</f>
        <v>45098</v>
      </c>
      <c r="E108" s="22">
        <f>[2]ALC!E108</f>
        <v>45117</v>
      </c>
      <c r="F108" s="23">
        <v>1</v>
      </c>
      <c r="G108" s="23" t="str">
        <f t="shared" si="13"/>
        <v>100%</v>
      </c>
      <c r="H108" s="17">
        <f t="shared" si="14"/>
        <v>2.6480903131201289E-3</v>
      </c>
      <c r="I108" s="17">
        <v>2.6480903131201289E-3</v>
      </c>
      <c r="J108" s="17">
        <f t="shared" si="15"/>
        <v>0</v>
      </c>
      <c r="K108" s="26" t="str">
        <f>VLOOKUP(A108,'[2]MS Progress'!$A:$Q,6,FALSE)</f>
        <v>100%</v>
      </c>
      <c r="L108" s="18"/>
    </row>
    <row r="109" spans="1:12" ht="14.25" customHeight="1" x14ac:dyDescent="0.25">
      <c r="A109" s="25" t="str">
        <f>'[2]ALC-Master'!A109</f>
        <v>A1085</v>
      </c>
      <c r="B109" s="25" t="str">
        <f>'[2]ALC-Master'!C109</f>
        <v>Traffic Modelling</v>
      </c>
      <c r="C109" s="20"/>
      <c r="D109" s="21"/>
      <c r="E109" s="22"/>
      <c r="F109" s="23"/>
      <c r="G109" s="23"/>
      <c r="H109" s="17"/>
      <c r="I109" s="17"/>
      <c r="J109" s="17"/>
      <c r="K109" s="18"/>
      <c r="L109" s="18"/>
    </row>
    <row r="110" spans="1:12" ht="14.25" customHeight="1" x14ac:dyDescent="0.25">
      <c r="A110" s="25" t="str">
        <f>'[2]ALC-Master'!A110</f>
        <v>A1085.T.01</v>
      </c>
      <c r="B110" s="25" t="str">
        <f>'[2]ALC-Master'!C110</f>
        <v>Award Traffic Modelling Consultant</v>
      </c>
      <c r="C110" s="20">
        <f>[2]ALC!G110</f>
        <v>1.6550564457000805E-4</v>
      </c>
      <c r="D110" s="21">
        <f>[2]ALC!D110</f>
        <v>44599</v>
      </c>
      <c r="E110" s="22">
        <f>[2]ALC!E110</f>
        <v>44599</v>
      </c>
      <c r="F110" s="23">
        <v>1</v>
      </c>
      <c r="G110" s="23" t="str">
        <f t="shared" ref="G110:G127" si="16">K110</f>
        <v>100%</v>
      </c>
      <c r="H110" s="17">
        <f t="shared" ref="H110:H127" si="17">(G110/F110)*C110</f>
        <v>1.6550564457000805E-4</v>
      </c>
      <c r="I110" s="17">
        <v>1.6550564457000805E-4</v>
      </c>
      <c r="J110" s="17">
        <f t="shared" ref="J110:J127" si="18">H110-I110</f>
        <v>0</v>
      </c>
      <c r="K110" s="26" t="str">
        <f>VLOOKUP(A110,'[2]MS Progress'!$A:$Q,6,FALSE)</f>
        <v>100%</v>
      </c>
      <c r="L110" s="18"/>
    </row>
    <row r="111" spans="1:12" ht="14.25" customHeight="1" x14ac:dyDescent="0.25">
      <c r="A111" s="25" t="str">
        <f>'[2]ALC-Master'!A111</f>
        <v>A1085.T.02</v>
      </c>
      <c r="B111" s="25" t="str">
        <f>'[2]ALC-Master'!C111</f>
        <v>Kick-off Meeting</v>
      </c>
      <c r="C111" s="20">
        <f>[2]ALC!G111</f>
        <v>2.5818880552921258E-4</v>
      </c>
      <c r="D111" s="21">
        <f>[2]ALC!D111</f>
        <v>44614</v>
      </c>
      <c r="E111" s="22">
        <f>[2]ALC!E111</f>
        <v>44615</v>
      </c>
      <c r="F111" s="23">
        <v>1</v>
      </c>
      <c r="G111" s="23" t="str">
        <f t="shared" si="16"/>
        <v>100%</v>
      </c>
      <c r="H111" s="17">
        <f t="shared" si="17"/>
        <v>2.5818880552921258E-4</v>
      </c>
      <c r="I111" s="17">
        <v>2.5818880552921258E-4</v>
      </c>
      <c r="J111" s="17">
        <f t="shared" si="18"/>
        <v>0</v>
      </c>
      <c r="K111" s="26" t="str">
        <f>VLOOKUP(A111,'[2]MS Progress'!$A:$Q,6,FALSE)</f>
        <v>100%</v>
      </c>
      <c r="L111" s="18"/>
    </row>
    <row r="112" spans="1:12" ht="14.25" customHeight="1" x14ac:dyDescent="0.25">
      <c r="A112" s="25" t="str">
        <f>'[2]ALC-Master'!A112</f>
        <v>A1085.T.03</v>
      </c>
      <c r="B112" s="25" t="str">
        <f>'[2]ALC-Master'!C112</f>
        <v>First round of model findings in slides [Rev 0a]</v>
      </c>
      <c r="C112" s="20">
        <f>[2]ALC!G112</f>
        <v>4.6341580479602254E-3</v>
      </c>
      <c r="D112" s="21">
        <f>[2]ALC!D112</f>
        <v>44616</v>
      </c>
      <c r="E112" s="22">
        <f>[2]ALC!E112</f>
        <v>44648</v>
      </c>
      <c r="F112" s="23">
        <v>1</v>
      </c>
      <c r="G112" s="23" t="str">
        <f t="shared" si="16"/>
        <v>100%</v>
      </c>
      <c r="H112" s="17">
        <f t="shared" si="17"/>
        <v>4.6341580479602254E-3</v>
      </c>
      <c r="I112" s="17">
        <v>4.6341580479602254E-3</v>
      </c>
      <c r="J112" s="17">
        <f t="shared" si="18"/>
        <v>0</v>
      </c>
      <c r="K112" s="26" t="str">
        <f>VLOOKUP(A112,'[2]MS Progress'!$A:$Q,6,FALSE)</f>
        <v>100%</v>
      </c>
      <c r="L112" s="18"/>
    </row>
    <row r="113" spans="1:12" ht="14.25" customHeight="1" x14ac:dyDescent="0.25">
      <c r="A113" s="25" t="str">
        <f>'[2]ALC-Master'!A113</f>
        <v>A1085.T.04</v>
      </c>
      <c r="B113" s="25" t="str">
        <f>'[2]ALC-Master'!C113</f>
        <v>Comments on Rev 0a findings (allowing time for possible discussion and presentation)</v>
      </c>
      <c r="C113" s="20">
        <f>[2]ALC!G113</f>
        <v>1.1585395119900564E-3</v>
      </c>
      <c r="D113" s="21">
        <f>[2]ALC!D113</f>
        <v>44649</v>
      </c>
      <c r="E113" s="22">
        <f>[2]ALC!E113</f>
        <v>44656</v>
      </c>
      <c r="F113" s="23">
        <v>1</v>
      </c>
      <c r="G113" s="23" t="str">
        <f t="shared" si="16"/>
        <v>100%</v>
      </c>
      <c r="H113" s="17">
        <f t="shared" si="17"/>
        <v>1.1585395119900564E-3</v>
      </c>
      <c r="I113" s="17">
        <v>1.1585395119900564E-3</v>
      </c>
      <c r="J113" s="17">
        <f t="shared" si="18"/>
        <v>0</v>
      </c>
      <c r="K113" s="26" t="str">
        <f>VLOOKUP(A113,'[2]MS Progress'!$A:$Q,6,FALSE)</f>
        <v>100%</v>
      </c>
      <c r="L113" s="18"/>
    </row>
    <row r="114" spans="1:12" ht="14.25" customHeight="1" x14ac:dyDescent="0.25">
      <c r="A114" s="25" t="str">
        <f>'[2]ALC-Master'!A114</f>
        <v>A1085.T.05</v>
      </c>
      <c r="B114" s="25" t="str">
        <f>'[2]ALC-Master'!C114</f>
        <v>Second round of model findings in slides [Rev 0b]</v>
      </c>
      <c r="C114" s="20">
        <f>[2]ALC!G114</f>
        <v>3.3101128914001611E-4</v>
      </c>
      <c r="D114" s="21">
        <f>[2]ALC!D114</f>
        <v>44657</v>
      </c>
      <c r="E114" s="22">
        <f>[2]ALC!E114</f>
        <v>44658</v>
      </c>
      <c r="F114" s="23">
        <v>1</v>
      </c>
      <c r="G114" s="23" t="str">
        <f t="shared" si="16"/>
        <v>100%</v>
      </c>
      <c r="H114" s="17">
        <f t="shared" si="17"/>
        <v>3.3101128914001611E-4</v>
      </c>
      <c r="I114" s="17">
        <v>3.3101128914001611E-4</v>
      </c>
      <c r="J114" s="17">
        <f t="shared" si="18"/>
        <v>0</v>
      </c>
      <c r="K114" s="26" t="str">
        <f>VLOOKUP(A114,'[2]MS Progress'!$A:$Q,6,FALSE)</f>
        <v>100%</v>
      </c>
      <c r="L114" s="18"/>
    </row>
    <row r="115" spans="1:12" ht="14.25" customHeight="1" x14ac:dyDescent="0.25">
      <c r="A115" s="25" t="str">
        <f>'[2]ALC-Master'!A115</f>
        <v>A1085.T.06</v>
      </c>
      <c r="B115" s="25" t="str">
        <f>'[2]ALC-Master'!C115</f>
        <v>Submit to SO/ NEA [Rev 0]</v>
      </c>
      <c r="C115" s="20">
        <f>[2]ALC!G115</f>
        <v>1.0261349963340499E-2</v>
      </c>
      <c r="D115" s="21">
        <f>[2]ALC!D115</f>
        <v>44659</v>
      </c>
      <c r="E115" s="22">
        <f>[2]ALC!E115</f>
        <v>44734</v>
      </c>
      <c r="F115" s="23">
        <v>1</v>
      </c>
      <c r="G115" s="23" t="str">
        <f t="shared" si="16"/>
        <v>100%</v>
      </c>
      <c r="H115" s="17">
        <f t="shared" si="17"/>
        <v>1.0261349963340499E-2</v>
      </c>
      <c r="I115" s="17">
        <v>1.0261349963340499E-2</v>
      </c>
      <c r="J115" s="17">
        <f t="shared" si="18"/>
        <v>0</v>
      </c>
      <c r="K115" s="26" t="str">
        <f>VLOOKUP(A115,'[2]MS Progress'!$A:$Q,6,FALSE)</f>
        <v>100%</v>
      </c>
      <c r="L115" s="18"/>
    </row>
    <row r="116" spans="1:12" ht="14.25" customHeight="1" x14ac:dyDescent="0.25">
      <c r="A116" s="25" t="str">
        <f>'[2]ALC-Master'!A116</f>
        <v>A1085.T.07</v>
      </c>
      <c r="B116" s="25" t="str">
        <f>'[2]ALC-Master'!C116</f>
        <v>Third round of model findings in slides [Rev 1a]</v>
      </c>
      <c r="C116" s="20">
        <f>[2]ALC!G116</f>
        <v>2.2030456348713773E-2</v>
      </c>
      <c r="D116" s="21">
        <f>[2]ALC!D116</f>
        <v>44735</v>
      </c>
      <c r="E116" s="22">
        <f>[2]ALC!E116</f>
        <v>44894</v>
      </c>
      <c r="F116" s="23">
        <v>1</v>
      </c>
      <c r="G116" s="23" t="str">
        <f t="shared" si="16"/>
        <v>100%</v>
      </c>
      <c r="H116" s="17">
        <f t="shared" si="17"/>
        <v>2.2030456348713773E-2</v>
      </c>
      <c r="I116" s="17">
        <v>2.2030456348713773E-2</v>
      </c>
      <c r="J116" s="17">
        <f t="shared" si="18"/>
        <v>0</v>
      </c>
      <c r="K116" s="26" t="str">
        <f>VLOOKUP(A116,'[2]MS Progress'!$A:$Q,6,FALSE)</f>
        <v>100%</v>
      </c>
      <c r="L116" s="18"/>
    </row>
    <row r="117" spans="1:12" ht="14.25" customHeight="1" x14ac:dyDescent="0.25">
      <c r="A117" s="25" t="str">
        <f>'[2]ALC-Master'!A117</f>
        <v>A1085.T.08</v>
      </c>
      <c r="B117" s="25" t="str">
        <f>'[2]ALC-Master'!C117</f>
        <v>Comments on Rev 1a findings (allowing time for possible discussion and presentation)</v>
      </c>
      <c r="C117" s="20">
        <f>[2]ALC!G117</f>
        <v>4.9651693371002413E-4</v>
      </c>
      <c r="D117" s="21">
        <f>[2]ALC!D117</f>
        <v>44834</v>
      </c>
      <c r="E117" s="22">
        <f>[2]ALC!E117</f>
        <v>44837</v>
      </c>
      <c r="F117" s="23">
        <v>1</v>
      </c>
      <c r="G117" s="23" t="str">
        <f t="shared" si="16"/>
        <v>100%</v>
      </c>
      <c r="H117" s="17">
        <f t="shared" si="17"/>
        <v>4.9651693371002413E-4</v>
      </c>
      <c r="I117" s="17">
        <v>4.9651693371002413E-4</v>
      </c>
      <c r="J117" s="17">
        <f t="shared" si="18"/>
        <v>0</v>
      </c>
      <c r="K117" s="26" t="str">
        <f>VLOOKUP(A117,'[2]MS Progress'!$A:$Q,6,FALSE)</f>
        <v>100%</v>
      </c>
      <c r="L117" s="18"/>
    </row>
    <row r="118" spans="1:12" ht="14.25" customHeight="1" x14ac:dyDescent="0.25">
      <c r="A118" s="25" t="str">
        <f>'[2]ALC-Master'!A118</f>
        <v>A1085.T.09</v>
      </c>
      <c r="B118" s="25" t="str">
        <f>'[2]ALC-Master'!C118</f>
        <v>Fourth round of model findings in slides [Rev 1b]</v>
      </c>
      <c r="C118" s="20">
        <f>[2]ALC!G118</f>
        <v>1.1767451328927574E-3</v>
      </c>
      <c r="D118" s="21">
        <f>[2]ALC!D118</f>
        <v>44838</v>
      </c>
      <c r="E118" s="22">
        <f>[2]ALC!E118</f>
        <v>44846</v>
      </c>
      <c r="F118" s="23">
        <v>1</v>
      </c>
      <c r="G118" s="23" t="str">
        <f t="shared" si="16"/>
        <v>100%</v>
      </c>
      <c r="H118" s="17">
        <f t="shared" si="17"/>
        <v>1.1767451328927574E-3</v>
      </c>
      <c r="I118" s="17">
        <v>1.1767451328927574E-3</v>
      </c>
      <c r="J118" s="17">
        <f t="shared" si="18"/>
        <v>0</v>
      </c>
      <c r="K118" s="26" t="str">
        <f>VLOOKUP(A118,'[2]MS Progress'!$A:$Q,6,FALSE)</f>
        <v>100%</v>
      </c>
      <c r="L118" s="18"/>
    </row>
    <row r="119" spans="1:12" ht="14.25" customHeight="1" x14ac:dyDescent="0.25">
      <c r="A119" s="25" t="str">
        <f>'[2]ALC-Master'!A119</f>
        <v>A1085.T.10</v>
      </c>
      <c r="B119" s="25" t="str">
        <f>'[2]ALC-Master'!C119</f>
        <v>Submit to SO/ NEA [Rev 1]</v>
      </c>
      <c r="C119" s="20">
        <f>[2]ALC!G119</f>
        <v>5.6453975362829745E-3</v>
      </c>
      <c r="D119" s="21">
        <f>[2]ALC!D119</f>
        <v>44847</v>
      </c>
      <c r="E119" s="22">
        <f>[2]ALC!E119</f>
        <v>44900</v>
      </c>
      <c r="F119" s="23">
        <v>1</v>
      </c>
      <c r="G119" s="23" t="str">
        <f t="shared" si="16"/>
        <v>100%</v>
      </c>
      <c r="H119" s="17">
        <f t="shared" si="17"/>
        <v>5.6453975362829745E-3</v>
      </c>
      <c r="I119" s="17">
        <v>5.6453975362829745E-3</v>
      </c>
      <c r="J119" s="17">
        <f t="shared" si="18"/>
        <v>0</v>
      </c>
      <c r="K119" s="26" t="str">
        <f>VLOOKUP(A119,'[2]MS Progress'!$A:$Q,6,FALSE)</f>
        <v>100%</v>
      </c>
      <c r="L119" s="18"/>
    </row>
    <row r="120" spans="1:12" ht="14.25" customHeight="1" x14ac:dyDescent="0.25">
      <c r="A120" s="25" t="str">
        <f>'[2]ALC-Master'!A120</f>
        <v>A1085.T.11</v>
      </c>
      <c r="B120" s="25" t="str">
        <f>'[2]ALC-Master'!C120</f>
        <v>Fifth round of model findings in slides [Rev 2a]</v>
      </c>
      <c r="C120" s="20">
        <f>[2]ALC!G120</f>
        <v>1.6550564457000805E-4</v>
      </c>
      <c r="D120" s="21">
        <f>[2]ALC!D120</f>
        <v>44901</v>
      </c>
      <c r="E120" s="22">
        <f>[2]ALC!E120</f>
        <v>44908</v>
      </c>
      <c r="F120" s="23">
        <v>1</v>
      </c>
      <c r="G120" s="23" t="str">
        <f t="shared" si="16"/>
        <v>100%</v>
      </c>
      <c r="H120" s="17">
        <f t="shared" si="17"/>
        <v>1.6550564457000805E-4</v>
      </c>
      <c r="I120" s="17">
        <v>1.6550564457000805E-4</v>
      </c>
      <c r="J120" s="17">
        <f t="shared" si="18"/>
        <v>0</v>
      </c>
      <c r="K120" s="26" t="str">
        <f>VLOOKUP(A120,'[2]MS Progress'!$A:$Q,6,FALSE)</f>
        <v>100%</v>
      </c>
      <c r="L120" s="18"/>
    </row>
    <row r="121" spans="1:12" ht="14.25" customHeight="1" x14ac:dyDescent="0.25">
      <c r="A121" s="25" t="str">
        <f>'[2]ALC-Master'!A121</f>
        <v>A1085.T.12</v>
      </c>
      <c r="B121" s="25" t="str">
        <f>'[2]ALC-Master'!C121</f>
        <v>Comments on Rev 2a findings (allowing time for possible discussion and presentation)</v>
      </c>
      <c r="C121" s="20">
        <f>[2]ALC!G121</f>
        <v>0</v>
      </c>
      <c r="D121" s="21">
        <f>[2]ALC!D121</f>
        <v>44909</v>
      </c>
      <c r="E121" s="22">
        <f>[2]ALC!E121</f>
        <v>44918</v>
      </c>
      <c r="F121" s="23">
        <v>1</v>
      </c>
      <c r="G121" s="23" t="str">
        <f t="shared" si="16"/>
        <v>100%</v>
      </c>
      <c r="H121" s="17">
        <f t="shared" si="17"/>
        <v>0</v>
      </c>
      <c r="I121" s="17">
        <v>0</v>
      </c>
      <c r="J121" s="17">
        <f t="shared" si="18"/>
        <v>0</v>
      </c>
      <c r="K121" s="26" t="str">
        <f>VLOOKUP(A121,'[2]MS Progress'!$A:$Q,6,FALSE)</f>
        <v>100%</v>
      </c>
      <c r="L121" s="18"/>
    </row>
    <row r="122" spans="1:12" ht="14.25" customHeight="1" x14ac:dyDescent="0.25">
      <c r="A122" s="25" t="str">
        <f>'[2]ALC-Master'!A122</f>
        <v>A1085.T.13</v>
      </c>
      <c r="B122" s="25" t="str">
        <f>'[2]ALC-Master'!C122</f>
        <v>Sixth round of model findings in slides [Rev 2b]</v>
      </c>
      <c r="C122" s="20">
        <f>[2]ALC!G122</f>
        <v>0</v>
      </c>
      <c r="D122" s="21">
        <f>[2]ALC!D122</f>
        <v>44919</v>
      </c>
      <c r="E122" s="22">
        <f>[2]ALC!E122</f>
        <v>44929</v>
      </c>
      <c r="F122" s="23">
        <v>1</v>
      </c>
      <c r="G122" s="23" t="str">
        <f t="shared" si="16"/>
        <v>100%</v>
      </c>
      <c r="H122" s="17">
        <f t="shared" si="17"/>
        <v>0</v>
      </c>
      <c r="I122" s="17">
        <v>0</v>
      </c>
      <c r="J122" s="17">
        <f t="shared" si="18"/>
        <v>0</v>
      </c>
      <c r="K122" s="26" t="str">
        <f>VLOOKUP(A122,'[2]MS Progress'!$A:$Q,6,FALSE)</f>
        <v>100%</v>
      </c>
      <c r="L122" s="18"/>
    </row>
    <row r="123" spans="1:12" ht="14.25" customHeight="1" x14ac:dyDescent="0.25">
      <c r="A123" s="25" t="str">
        <f>'[2]ALC-Master'!A123</f>
        <v>A1085.T.14</v>
      </c>
      <c r="B123" s="25" t="str">
        <f>'[2]ALC-Master'!C123</f>
        <v>Submit to SO/ NEA [Rev 2]</v>
      </c>
      <c r="C123" s="20">
        <f>[2]ALC!G123</f>
        <v>0</v>
      </c>
      <c r="D123" s="21">
        <f>[2]ALC!D123</f>
        <v>44930</v>
      </c>
      <c r="E123" s="22">
        <f>[2]ALC!E123</f>
        <v>44940</v>
      </c>
      <c r="F123" s="23">
        <v>1</v>
      </c>
      <c r="G123" s="23" t="str">
        <f t="shared" si="16"/>
        <v>100%</v>
      </c>
      <c r="H123" s="17">
        <f t="shared" si="17"/>
        <v>0</v>
      </c>
      <c r="I123" s="17">
        <v>0</v>
      </c>
      <c r="J123" s="17">
        <f t="shared" si="18"/>
        <v>0</v>
      </c>
      <c r="K123" s="26" t="str">
        <f>VLOOKUP(A123,'[2]MS Progress'!$A:$Q,6,FALSE)</f>
        <v>100%</v>
      </c>
      <c r="L123" s="18"/>
    </row>
    <row r="124" spans="1:12" ht="14.25" customHeight="1" x14ac:dyDescent="0.25">
      <c r="A124" s="25" t="str">
        <f>'[2]ALC-Master'!A124</f>
        <v>A1085.T.15</v>
      </c>
      <c r="B124" s="25" t="str">
        <f>'[2]ALC-Master'!C124</f>
        <v>Final Model findings report</v>
      </c>
      <c r="C124" s="20">
        <f>[2]ALC!G124</f>
        <v>1.8205620902700887E-3</v>
      </c>
      <c r="D124" s="21">
        <f>[2]ALC!D124</f>
        <v>44942</v>
      </c>
      <c r="E124" s="22">
        <f>[2]ALC!E124</f>
        <v>44947</v>
      </c>
      <c r="F124" s="23">
        <v>1</v>
      </c>
      <c r="G124" s="23" t="str">
        <f t="shared" si="16"/>
        <v>100%</v>
      </c>
      <c r="H124" s="17">
        <f t="shared" si="17"/>
        <v>1.8205620902700887E-3</v>
      </c>
      <c r="I124" s="17">
        <v>1.8205620902700887E-3</v>
      </c>
      <c r="J124" s="17">
        <f t="shared" si="18"/>
        <v>0</v>
      </c>
      <c r="K124" s="26" t="str">
        <f>VLOOKUP(A124,'[2]MS Progress'!$A:$Q,6,FALSE)</f>
        <v>100%</v>
      </c>
      <c r="L124" s="18"/>
    </row>
    <row r="125" spans="1:12" ht="14.25" customHeight="1" x14ac:dyDescent="0.25">
      <c r="A125" s="25" t="str">
        <f>'[2]ALC-Master'!A125</f>
        <v>A1085.T.16</v>
      </c>
      <c r="B125" s="25" t="str">
        <f>'[2]ALC-Master'!C125</f>
        <v>Final presentation / confirmation on findings</v>
      </c>
      <c r="C125" s="20">
        <f>[2]ALC!G125</f>
        <v>2.4660341040931202E-2</v>
      </c>
      <c r="D125" s="21">
        <f>[2]ALC!D125</f>
        <v>44951</v>
      </c>
      <c r="E125" s="22">
        <f>[2]ALC!E125</f>
        <v>44960</v>
      </c>
      <c r="F125" s="23">
        <v>1</v>
      </c>
      <c r="G125" s="23" t="str">
        <f t="shared" si="16"/>
        <v>100%</v>
      </c>
      <c r="H125" s="17">
        <f t="shared" si="17"/>
        <v>2.4660341040931202E-2</v>
      </c>
      <c r="I125" s="17">
        <v>2.4660341040931202E-2</v>
      </c>
      <c r="J125" s="17">
        <f t="shared" si="18"/>
        <v>0</v>
      </c>
      <c r="K125" s="26" t="str">
        <f>VLOOKUP(A125,'[2]MS Progress'!$A:$Q,6,FALSE)</f>
        <v>100%</v>
      </c>
      <c r="L125" s="18"/>
    </row>
    <row r="126" spans="1:12" ht="14.25" customHeight="1" x14ac:dyDescent="0.25">
      <c r="A126" s="25" t="str">
        <f>'[2]ALC-Master'!A126</f>
        <v>A1085.T.17</v>
      </c>
      <c r="B126" s="25" t="str">
        <f>'[2]ALC-Master'!C126</f>
        <v>Comments on final report</v>
      </c>
      <c r="C126" s="20">
        <f>[2]ALC!G126</f>
        <v>8.1097765839303945E-3</v>
      </c>
      <c r="D126" s="21">
        <f>[2]ALC!D126</f>
        <v>44963</v>
      </c>
      <c r="E126" s="22">
        <f>[2]ALC!E126</f>
        <v>44965</v>
      </c>
      <c r="F126" s="23">
        <v>1</v>
      </c>
      <c r="G126" s="23" t="str">
        <f t="shared" si="16"/>
        <v>100%</v>
      </c>
      <c r="H126" s="17">
        <f t="shared" si="17"/>
        <v>8.1097765839303945E-3</v>
      </c>
      <c r="I126" s="17">
        <v>8.1097765839303945E-3</v>
      </c>
      <c r="J126" s="17">
        <f t="shared" si="18"/>
        <v>0</v>
      </c>
      <c r="K126" s="26" t="str">
        <f>VLOOKUP(A126,'[2]MS Progress'!$A:$Q,6,FALSE)</f>
        <v>100%</v>
      </c>
      <c r="L126" s="18"/>
    </row>
    <row r="127" spans="1:12" ht="14.25" customHeight="1" x14ac:dyDescent="0.25">
      <c r="A127" s="25" t="str">
        <f>'[2]ALC-Master'!A127</f>
        <v>A1085.T.18</v>
      </c>
      <c r="B127" s="25" t="str">
        <f>'[2]ALC-Master'!C127</f>
        <v>Submit &amp; Confirmation of final report by SO/NEA</v>
      </c>
      <c r="C127" s="20">
        <f>[2]ALC!G127</f>
        <v>6.6202257828003222E-4</v>
      </c>
      <c r="D127" s="21">
        <f>[2]ALC!D127</f>
        <v>44966</v>
      </c>
      <c r="E127" s="22">
        <f>[2]ALC!E127</f>
        <v>44970</v>
      </c>
      <c r="F127" s="23">
        <v>1</v>
      </c>
      <c r="G127" s="23" t="str">
        <f t="shared" si="16"/>
        <v>100%</v>
      </c>
      <c r="H127" s="17">
        <f t="shared" si="17"/>
        <v>6.6202257828003222E-4</v>
      </c>
      <c r="I127" s="17">
        <v>6.6202257828003222E-4</v>
      </c>
      <c r="J127" s="17">
        <f t="shared" si="18"/>
        <v>0</v>
      </c>
      <c r="K127" s="26" t="str">
        <f>VLOOKUP(A127,'[2]MS Progress'!$A:$Q,6,FALSE)</f>
        <v>100%</v>
      </c>
      <c r="L127" s="18"/>
    </row>
    <row r="128" spans="1:12" ht="14.25" customHeight="1" x14ac:dyDescent="0.25">
      <c r="A128" s="25" t="str">
        <f>'[2]ALC-Master'!A128</f>
        <v>A1050</v>
      </c>
      <c r="B128" s="25" t="str">
        <f>'[2]ALC-Master'!C128</f>
        <v>Procurement</v>
      </c>
      <c r="C128" s="20"/>
      <c r="D128" s="21"/>
      <c r="E128" s="22"/>
      <c r="F128" s="23"/>
      <c r="G128" s="23"/>
      <c r="H128" s="17"/>
      <c r="I128" s="17"/>
      <c r="J128" s="17"/>
      <c r="K128" s="18"/>
      <c r="L128" s="18"/>
    </row>
    <row r="129" spans="1:12" ht="14.25" customHeight="1" x14ac:dyDescent="0.25">
      <c r="A129" s="25" t="str">
        <f>'[2]ALC-Master'!A129</f>
        <v>A1050.P.01</v>
      </c>
      <c r="B129" s="25" t="str">
        <f>'[2]ALC-Master'!C129</f>
        <v>Weighbridges</v>
      </c>
      <c r="C129" s="20">
        <f>[2]ALC!G129</f>
        <v>1.7874609613560868E-2</v>
      </c>
      <c r="D129" s="21">
        <f>[2]ALC!D129</f>
        <v>44799</v>
      </c>
      <c r="E129" s="22">
        <f>[2]ALC!E129</f>
        <v>45000</v>
      </c>
      <c r="F129" s="23">
        <v>1</v>
      </c>
      <c r="G129" s="23" t="str">
        <f t="shared" ref="G129:G143" si="19">K129</f>
        <v>100%</v>
      </c>
      <c r="H129" s="17">
        <f t="shared" ref="H129:H143" si="20">(G129/F129)*C129</f>
        <v>1.7874609613560868E-2</v>
      </c>
      <c r="I129" s="17">
        <v>1.7874609613560868E-2</v>
      </c>
      <c r="J129" s="17">
        <f t="shared" ref="J129:J143" si="21">H129-I129</f>
        <v>0</v>
      </c>
      <c r="K129" s="26" t="str">
        <f>VLOOKUP(A129,'[2]MS Progress'!$A:$Q,6,FALSE)</f>
        <v>100%</v>
      </c>
      <c r="L129" s="18"/>
    </row>
    <row r="130" spans="1:12" ht="14.25" customHeight="1" x14ac:dyDescent="0.25">
      <c r="A130" s="25" t="str">
        <f>'[2]ALC-Master'!A130</f>
        <v>A1050.P.02</v>
      </c>
      <c r="B130" s="25" t="str">
        <f>'[2]ALC-Master'!C130</f>
        <v>Furniture</v>
      </c>
      <c r="C130" s="20">
        <f>[2]ALC!G130</f>
        <v>8.6062935176404193E-3</v>
      </c>
      <c r="D130" s="21">
        <f>[2]ALC!D130</f>
        <v>44971</v>
      </c>
      <c r="E130" s="22">
        <f>[2]ALC!E130</f>
        <v>45031</v>
      </c>
      <c r="F130" s="23">
        <v>1</v>
      </c>
      <c r="G130" s="23" t="str">
        <f t="shared" si="19"/>
        <v>95%</v>
      </c>
      <c r="H130" s="17">
        <f t="shared" si="20"/>
        <v>8.1759788417583978E-3</v>
      </c>
      <c r="I130" s="17">
        <v>8.6062935176404193E-3</v>
      </c>
      <c r="J130" s="17">
        <f t="shared" si="21"/>
        <v>-4.3031467588202157E-4</v>
      </c>
      <c r="K130" s="26" t="str">
        <f>VLOOKUP(A130,'[2]MS Progress'!$A:$Q,6,FALSE)</f>
        <v>95%</v>
      </c>
      <c r="L130" s="18"/>
    </row>
    <row r="131" spans="1:12" ht="14.25" customHeight="1" x14ac:dyDescent="0.25">
      <c r="A131" s="25" t="str">
        <f>'[2]ALC-Master'!A131</f>
        <v>A1050.P.03</v>
      </c>
      <c r="B131" s="25" t="str">
        <f>'[2]ALC-Master'!C131</f>
        <v>UPS &amp; 19" Racks</v>
      </c>
      <c r="C131" s="20">
        <f>[2]ALC!G131</f>
        <v>0</v>
      </c>
      <c r="D131" s="21">
        <f>[2]ALC!D131</f>
        <v>44852</v>
      </c>
      <c r="E131" s="22">
        <f>[2]ALC!E131</f>
        <v>45001</v>
      </c>
      <c r="F131" s="23">
        <v>1</v>
      </c>
      <c r="G131" s="23" t="str">
        <f t="shared" si="19"/>
        <v>100%</v>
      </c>
      <c r="H131" s="17">
        <f t="shared" si="20"/>
        <v>0</v>
      </c>
      <c r="I131" s="17">
        <v>0</v>
      </c>
      <c r="J131" s="17">
        <f t="shared" si="21"/>
        <v>0</v>
      </c>
      <c r="K131" s="26" t="str">
        <f>VLOOKUP(A131,'[2]MS Progress'!$A:$Q,6,FALSE)</f>
        <v>100%</v>
      </c>
      <c r="L131" s="18"/>
    </row>
    <row r="132" spans="1:12" ht="14.25" customHeight="1" x14ac:dyDescent="0.25">
      <c r="A132" s="25" t="str">
        <f>'[2]ALC-Master'!A132</f>
        <v>A1050.P.04</v>
      </c>
      <c r="B132" s="25" t="str">
        <f>'[2]ALC-Master'!C132</f>
        <v>Public Announcement System</v>
      </c>
      <c r="C132" s="20">
        <f>[2]ALC!G132</f>
        <v>4.4686524033902171E-3</v>
      </c>
      <c r="D132" s="21">
        <f>[2]ALC!D132</f>
        <v>44382</v>
      </c>
      <c r="E132" s="22">
        <f>[2]ALC!E132</f>
        <v>45001</v>
      </c>
      <c r="F132" s="23">
        <v>1</v>
      </c>
      <c r="G132" s="23" t="str">
        <f t="shared" si="19"/>
        <v>85%</v>
      </c>
      <c r="H132" s="17">
        <f t="shared" si="20"/>
        <v>3.7983545428816844E-3</v>
      </c>
      <c r="I132" s="17">
        <v>4.4686524033902171E-3</v>
      </c>
      <c r="J132" s="17">
        <f t="shared" si="21"/>
        <v>-6.7029786050853274E-4</v>
      </c>
      <c r="K132" s="26" t="str">
        <f>VLOOKUP(A132,'[2]MS Progress'!$A:$Q,6,FALSE)</f>
        <v>85%</v>
      </c>
      <c r="L132" s="18"/>
    </row>
    <row r="133" spans="1:12" ht="14.25" customHeight="1" x14ac:dyDescent="0.25">
      <c r="A133" s="25" t="str">
        <f>'[2]ALC-Master'!A133</f>
        <v>A1050.P.05</v>
      </c>
      <c r="B133" s="25" t="str">
        <f>'[2]ALC-Master'!C133</f>
        <v>Electrical &amp; Structured Cabling Services(By Others)</v>
      </c>
      <c r="C133" s="20">
        <f>[2]ALC!G133</f>
        <v>4.4686524033902171E-3</v>
      </c>
      <c r="D133" s="21">
        <f>[2]ALC!D133</f>
        <v>44971</v>
      </c>
      <c r="E133" s="22">
        <f>[2]ALC!E133</f>
        <v>45001</v>
      </c>
      <c r="F133" s="23">
        <v>1</v>
      </c>
      <c r="G133" s="23" t="str">
        <f t="shared" si="19"/>
        <v>0%</v>
      </c>
      <c r="H133" s="17">
        <f t="shared" si="20"/>
        <v>0</v>
      </c>
      <c r="I133" s="17">
        <v>4.4686524033902171E-3</v>
      </c>
      <c r="J133" s="17">
        <f t="shared" si="21"/>
        <v>-4.4686524033902171E-3</v>
      </c>
      <c r="K133" s="26" t="str">
        <f>VLOOKUP(A133,'[2]MS Progress'!$A:$Q,6,FALSE)</f>
        <v>0%</v>
      </c>
      <c r="L133" s="18"/>
    </row>
    <row r="134" spans="1:12" ht="14.25" customHeight="1" x14ac:dyDescent="0.25">
      <c r="A134" s="25" t="str">
        <f>'[2]ALC-Master'!A134</f>
        <v>A1050.P.06</v>
      </c>
      <c r="B134" s="25" t="str">
        <f>'[2]ALC-Master'!C134</f>
        <v>Data Processing Equipment</v>
      </c>
      <c r="C134" s="20">
        <f>[2]ALC!G134</f>
        <v>4.4686524033902171E-3</v>
      </c>
      <c r="D134" s="21">
        <f>[2]ALC!D134</f>
        <v>44706</v>
      </c>
      <c r="E134" s="22">
        <f>[2]ALC!E134</f>
        <v>45001</v>
      </c>
      <c r="F134" s="23">
        <v>1</v>
      </c>
      <c r="G134" s="23" t="str">
        <f t="shared" si="19"/>
        <v>100%</v>
      </c>
      <c r="H134" s="17">
        <f t="shared" si="20"/>
        <v>4.4686524033902171E-3</v>
      </c>
      <c r="I134" s="17">
        <v>4.4686524033902171E-3</v>
      </c>
      <c r="J134" s="17">
        <f t="shared" si="21"/>
        <v>0</v>
      </c>
      <c r="K134" s="26" t="str">
        <f>VLOOKUP(A134,'[2]MS Progress'!$A:$Q,6,FALSE)</f>
        <v>100%</v>
      </c>
      <c r="L134" s="18"/>
    </row>
    <row r="135" spans="1:12" ht="14.25" customHeight="1" x14ac:dyDescent="0.25">
      <c r="A135" s="25" t="str">
        <f>'[2]ALC-Master'!A135</f>
        <v>A1050.P.07</v>
      </c>
      <c r="B135" s="25" t="str">
        <f>'[2]ALC-Master'!C135</f>
        <v>Data Communication Equipment</v>
      </c>
      <c r="C135" s="20">
        <f>[2]ALC!G135</f>
        <v>4.4686524033902171E-3</v>
      </c>
      <c r="D135" s="21">
        <f>[2]ALC!D135</f>
        <v>44706</v>
      </c>
      <c r="E135" s="22">
        <f>[2]ALC!E135</f>
        <v>45001</v>
      </c>
      <c r="F135" s="23">
        <v>1</v>
      </c>
      <c r="G135" s="23" t="str">
        <f t="shared" si="19"/>
        <v>95%</v>
      </c>
      <c r="H135" s="17">
        <f t="shared" si="20"/>
        <v>4.2452197832207059E-3</v>
      </c>
      <c r="I135" s="17">
        <v>4.4686524033902171E-3</v>
      </c>
      <c r="J135" s="17">
        <f t="shared" si="21"/>
        <v>-2.234326201695112E-4</v>
      </c>
      <c r="K135" s="26" t="str">
        <f>VLOOKUP(A135,'[2]MS Progress'!$A:$Q,6,FALSE)</f>
        <v>95%</v>
      </c>
      <c r="L135" s="18"/>
    </row>
    <row r="136" spans="1:12" ht="14.25" customHeight="1" x14ac:dyDescent="0.25">
      <c r="A136" s="25" t="str">
        <f>'[2]ALC-Master'!A136</f>
        <v>A1050.P.08</v>
      </c>
      <c r="B136" s="25" t="str">
        <f>'[2]ALC-Master'!C136</f>
        <v>Station Integrated with Interfacing Controller for Receipt, Intercom, RFID, Biometrics, Traffic Lights, Vehicle Barrier</v>
      </c>
      <c r="C136" s="20">
        <f>[2]ALC!G136</f>
        <v>4.4686524033902171E-3</v>
      </c>
      <c r="D136" s="21">
        <f>[2]ALC!D136</f>
        <v>44706</v>
      </c>
      <c r="E136" s="22">
        <f>[2]ALC!E136</f>
        <v>45001</v>
      </c>
      <c r="F136" s="23">
        <v>1</v>
      </c>
      <c r="G136" s="23" t="str">
        <f t="shared" si="19"/>
        <v>95%</v>
      </c>
      <c r="H136" s="17">
        <f t="shared" si="20"/>
        <v>4.2452197832207059E-3</v>
      </c>
      <c r="I136" s="17">
        <v>4.4686524033902171E-3</v>
      </c>
      <c r="J136" s="17">
        <f t="shared" si="21"/>
        <v>-2.234326201695112E-4</v>
      </c>
      <c r="K136" s="26" t="str">
        <f>VLOOKUP(A136,'[2]MS Progress'!$A:$Q,6,FALSE)</f>
        <v>95%</v>
      </c>
      <c r="L136" s="18"/>
    </row>
    <row r="137" spans="1:12" ht="14.25" customHeight="1" x14ac:dyDescent="0.25">
      <c r="A137" s="25" t="str">
        <f>'[2]ALC-Master'!A137</f>
        <v>A1050.P.09</v>
      </c>
      <c r="B137" s="25" t="str">
        <f>'[2]ALC-Master'!C137</f>
        <v>Video Recording System, LPR Hardware and Accessories</v>
      </c>
      <c r="C137" s="20">
        <f>[2]ALC!G137</f>
        <v>5.95820320452029E-3</v>
      </c>
      <c r="D137" s="21">
        <f>[2]ALC!D137</f>
        <v>44706</v>
      </c>
      <c r="E137" s="22">
        <f>[2]ALC!E137</f>
        <v>45012</v>
      </c>
      <c r="F137" s="23">
        <v>1</v>
      </c>
      <c r="G137" s="23" t="str">
        <f t="shared" si="19"/>
        <v>95%</v>
      </c>
      <c r="H137" s="17">
        <f t="shared" si="20"/>
        <v>5.6602930442942751E-3</v>
      </c>
      <c r="I137" s="17">
        <v>5.95820320452029E-3</v>
      </c>
      <c r="J137" s="17">
        <f t="shared" si="21"/>
        <v>-2.9791016022601494E-4</v>
      </c>
      <c r="K137" s="26" t="str">
        <f>VLOOKUP(A137,'[2]MS Progress'!$A:$Q,6,FALSE)</f>
        <v>95%</v>
      </c>
      <c r="L137" s="18"/>
    </row>
    <row r="138" spans="1:12" ht="14.25" customHeight="1" x14ac:dyDescent="0.25">
      <c r="A138" s="25" t="str">
        <f>'[2]ALC-Master'!A138</f>
        <v>A1050.P.10</v>
      </c>
      <c r="B138" s="25" t="str">
        <f>'[2]ALC-Master'!C138</f>
        <v>Zonal Detection System</v>
      </c>
      <c r="C138" s="20">
        <f>[2]ALC!G138</f>
        <v>8.440787873070411E-3</v>
      </c>
      <c r="D138" s="21">
        <f>[2]ALC!D138</f>
        <v>44706</v>
      </c>
      <c r="E138" s="22">
        <f>[2]ALC!E138</f>
        <v>45030</v>
      </c>
      <c r="F138" s="23">
        <v>1</v>
      </c>
      <c r="G138" s="23" t="str">
        <f t="shared" si="19"/>
        <v>90%</v>
      </c>
      <c r="H138" s="17">
        <f t="shared" si="20"/>
        <v>7.5967090857633705E-3</v>
      </c>
      <c r="I138" s="17">
        <v>8.440787873070411E-3</v>
      </c>
      <c r="J138" s="17">
        <f t="shared" si="21"/>
        <v>-8.4407878730704058E-4</v>
      </c>
      <c r="K138" s="26" t="str">
        <f>VLOOKUP(A138,'[2]MS Progress'!$A:$Q,6,FALSE)</f>
        <v>90%</v>
      </c>
      <c r="L138" s="18"/>
    </row>
    <row r="139" spans="1:12" ht="14.25" customHeight="1" x14ac:dyDescent="0.25">
      <c r="A139" s="25" t="str">
        <f>'[2]ALC-Master'!A139</f>
        <v>A1050.P.11</v>
      </c>
      <c r="B139" s="25" t="str">
        <f>'[2]ALC-Master'!C139</f>
        <v>Radioactive Devices</v>
      </c>
      <c r="C139" s="20">
        <f>[2]ALC!G139</f>
        <v>8.6062935176404193E-3</v>
      </c>
      <c r="D139" s="21">
        <f>[2]ALC!D139</f>
        <v>44802</v>
      </c>
      <c r="E139" s="22">
        <f>[2]ALC!E139</f>
        <v>45031</v>
      </c>
      <c r="F139" s="23">
        <v>1</v>
      </c>
      <c r="G139" s="23" t="str">
        <f t="shared" si="19"/>
        <v>100%</v>
      </c>
      <c r="H139" s="17">
        <f t="shared" si="20"/>
        <v>8.6062935176404193E-3</v>
      </c>
      <c r="I139" s="17">
        <v>8.6062935176404193E-3</v>
      </c>
      <c r="J139" s="17">
        <f t="shared" si="21"/>
        <v>0</v>
      </c>
      <c r="K139" s="26" t="str">
        <f>VLOOKUP(A139,'[2]MS Progress'!$A:$Q,6,FALSE)</f>
        <v>100%</v>
      </c>
      <c r="L139" s="18"/>
    </row>
    <row r="140" spans="1:12" ht="14.25" customHeight="1" x14ac:dyDescent="0.25">
      <c r="A140" s="25" t="str">
        <f>'[2]ALC-Master'!A140</f>
        <v>A1050.P.12</v>
      </c>
      <c r="B140" s="25" t="str">
        <f>'[2]ALC-Master'!C140</f>
        <v>Heat Detection Devices</v>
      </c>
      <c r="C140" s="20">
        <f>[2]ALC!G140</f>
        <v>1.4895508011300724E-2</v>
      </c>
      <c r="D140" s="21">
        <f>[2]ALC!D140</f>
        <v>44782</v>
      </c>
      <c r="E140" s="22">
        <f>[2]ALC!E140</f>
        <v>44995</v>
      </c>
      <c r="F140" s="23">
        <v>1</v>
      </c>
      <c r="G140" s="23" t="str">
        <f t="shared" si="19"/>
        <v>100%</v>
      </c>
      <c r="H140" s="17">
        <f t="shared" si="20"/>
        <v>1.4895508011300724E-2</v>
      </c>
      <c r="I140" s="17">
        <v>1.4895508011300724E-2</v>
      </c>
      <c r="J140" s="17">
        <f t="shared" si="21"/>
        <v>0</v>
      </c>
      <c r="K140" s="26" t="str">
        <f>VLOOKUP(A140,'[2]MS Progress'!$A:$Q,6,FALSE)</f>
        <v>100%</v>
      </c>
      <c r="L140" s="18"/>
    </row>
    <row r="141" spans="1:12" ht="14.25" customHeight="1" x14ac:dyDescent="0.25">
      <c r="A141" s="25" t="str">
        <f>'[2]ALC-Master'!A141</f>
        <v>A1050.P.13</v>
      </c>
      <c r="B141" s="25" t="str">
        <f>'[2]ALC-Master'!C141</f>
        <v>Ash Truck Positioning and Empty/Full Detection Devices</v>
      </c>
      <c r="C141" s="20">
        <f>[2]ALC!G141</f>
        <v>8.6062935176404193E-3</v>
      </c>
      <c r="D141" s="21">
        <f>[2]ALC!D141</f>
        <v>44706</v>
      </c>
      <c r="E141" s="22">
        <f>[2]ALC!E141</f>
        <v>45031</v>
      </c>
      <c r="F141" s="23">
        <v>1</v>
      </c>
      <c r="G141" s="23" t="str">
        <f t="shared" si="19"/>
        <v>90%</v>
      </c>
      <c r="H141" s="17">
        <f t="shared" si="20"/>
        <v>7.7456641658763779E-3</v>
      </c>
      <c r="I141" s="17">
        <v>8.6062935176404193E-3</v>
      </c>
      <c r="J141" s="17">
        <f t="shared" si="21"/>
        <v>-8.6062935176404141E-4</v>
      </c>
      <c r="K141" s="26" t="str">
        <f>VLOOKUP(A141,'[2]MS Progress'!$A:$Q,6,FALSE)</f>
        <v>90%</v>
      </c>
      <c r="L141" s="18"/>
    </row>
    <row r="142" spans="1:12" ht="14.25" customHeight="1" x14ac:dyDescent="0.25">
      <c r="A142" s="25" t="str">
        <f>'[2]ALC-Master'!A142</f>
        <v>A1050.P.14</v>
      </c>
      <c r="B142" s="25" t="str">
        <f>'[2]ALC-Master'!C142</f>
        <v>Purchase and Delivery of Casted Items(Others) -Batch 1</v>
      </c>
      <c r="C142" s="20">
        <f>[2]ALC!G142</f>
        <v>1.1585395119900564E-2</v>
      </c>
      <c r="D142" s="21">
        <f>[2]ALC!D142</f>
        <v>45086</v>
      </c>
      <c r="E142" s="22">
        <f>[2]ALC!E142</f>
        <v>45087</v>
      </c>
      <c r="F142" s="23">
        <v>1</v>
      </c>
      <c r="G142" s="23" t="str">
        <f t="shared" si="19"/>
        <v>100%</v>
      </c>
      <c r="H142" s="17">
        <f t="shared" si="20"/>
        <v>1.1585395119900564E-2</v>
      </c>
      <c r="I142" s="17">
        <v>1.1585395119900564E-2</v>
      </c>
      <c r="J142" s="17">
        <f t="shared" si="21"/>
        <v>0</v>
      </c>
      <c r="K142" s="26" t="str">
        <f>VLOOKUP(A142,'[2]MS Progress'!$A:$Q,6,FALSE)</f>
        <v>100%</v>
      </c>
      <c r="L142" s="18"/>
    </row>
    <row r="143" spans="1:12" ht="14.25" customHeight="1" x14ac:dyDescent="0.25">
      <c r="A143" s="25" t="str">
        <f>'[2]ALC-Master'!A143</f>
        <v>A1050.P.15</v>
      </c>
      <c r="B143" s="25" t="str">
        <f>'[2]ALC-Master'!C143</f>
        <v>Purchase and Delivery of Casted Items(Others) - Batch 2</v>
      </c>
      <c r="C143" s="20">
        <f>[2]ALC!G143</f>
        <v>1.274393463189062E-2</v>
      </c>
      <c r="D143" s="21">
        <f>[2]ALC!D143</f>
        <v>45087</v>
      </c>
      <c r="E143" s="22">
        <f>[2]ALC!E143</f>
        <v>45087</v>
      </c>
      <c r="F143" s="23">
        <v>1</v>
      </c>
      <c r="G143" s="23" t="str">
        <f t="shared" si="19"/>
        <v>100%</v>
      </c>
      <c r="H143" s="17">
        <f t="shared" si="20"/>
        <v>1.274393463189062E-2</v>
      </c>
      <c r="I143" s="17">
        <v>1.274393463189062E-2</v>
      </c>
      <c r="J143" s="17">
        <f t="shared" si="21"/>
        <v>0</v>
      </c>
      <c r="K143" s="26" t="str">
        <f>VLOOKUP(A143,'[2]MS Progress'!$A:$Q,6,FALSE)</f>
        <v>100%</v>
      </c>
      <c r="L143" s="18"/>
    </row>
    <row r="144" spans="1:12" ht="14.25" customHeight="1" x14ac:dyDescent="0.25">
      <c r="A144" s="25">
        <f>'[2]ALC-Master'!A144</f>
        <v>0</v>
      </c>
      <c r="B144" s="25" t="str">
        <f>'[2]ALC-Master'!C144</f>
        <v>Manufacture / Fabrication / Delivery</v>
      </c>
      <c r="C144" s="20"/>
      <c r="D144" s="21"/>
      <c r="E144" s="22"/>
      <c r="F144" s="23"/>
      <c r="G144" s="23"/>
      <c r="H144" s="17"/>
      <c r="I144" s="17"/>
      <c r="J144" s="17"/>
      <c r="K144" s="18"/>
      <c r="L144" s="18"/>
    </row>
    <row r="145" spans="1:12" ht="14.25" customHeight="1" x14ac:dyDescent="0.25">
      <c r="A145" s="25" t="str">
        <f>'[2]ALC-Master'!A145</f>
        <v>A1060</v>
      </c>
      <c r="B145" s="25" t="str">
        <f>'[2]ALC-Master'!C145</f>
        <v>Manufacture Commence Data (Commence Date should be notified by KSPL)</v>
      </c>
      <c r="C145" s="20"/>
      <c r="D145" s="21"/>
      <c r="E145" s="22"/>
      <c r="F145" s="23"/>
      <c r="G145" s="23"/>
      <c r="H145" s="17"/>
      <c r="I145" s="17"/>
      <c r="J145" s="17"/>
      <c r="K145" s="18"/>
      <c r="L145" s="18"/>
    </row>
    <row r="146" spans="1:12" ht="14.25" customHeight="1" x14ac:dyDescent="0.25">
      <c r="A146" s="25" t="str">
        <f>'[2]ALC-Master'!A146</f>
        <v>A1060.M.01</v>
      </c>
      <c r="B146" s="25" t="str">
        <f>'[2]ALC-Master'!C146</f>
        <v>Weighbridges</v>
      </c>
      <c r="C146" s="20">
        <f>[2]ALC!G146</f>
        <v>8.9373048067804342E-3</v>
      </c>
      <c r="D146" s="21">
        <f>[2]ALC!D146</f>
        <v>45001</v>
      </c>
      <c r="E146" s="22">
        <f>[2]ALC!E146</f>
        <v>45066</v>
      </c>
      <c r="F146" s="23">
        <v>1</v>
      </c>
      <c r="G146" s="23" t="str">
        <f t="shared" ref="G146:G158" si="22">K146</f>
        <v>100%</v>
      </c>
      <c r="H146" s="17">
        <f t="shared" ref="H146:H158" si="23">(G146/F146)*C146</f>
        <v>8.9373048067804342E-3</v>
      </c>
      <c r="I146" s="17">
        <v>8.9373048067804342E-3</v>
      </c>
      <c r="J146" s="17">
        <f t="shared" ref="J146:J158" si="24">H146-I146</f>
        <v>0</v>
      </c>
      <c r="K146" s="26" t="str">
        <f>VLOOKUP(A146,'[2]MS Progress'!$A:$Q,6,FALSE)</f>
        <v>100%</v>
      </c>
      <c r="L146" s="18"/>
    </row>
    <row r="147" spans="1:12" ht="14.25" customHeight="1" x14ac:dyDescent="0.25">
      <c r="A147" s="25" t="str">
        <f>'[2]ALC-Master'!A147</f>
        <v>A1060.M.02</v>
      </c>
      <c r="B147" s="25" t="str">
        <f>'[2]ALC-Master'!C147</f>
        <v>Furniture</v>
      </c>
      <c r="C147" s="20">
        <f>[2]ALC!G147</f>
        <v>4.4686524033902171E-3</v>
      </c>
      <c r="D147" s="21">
        <f>[2]ALC!D147</f>
        <v>45033</v>
      </c>
      <c r="E147" s="22">
        <f>[2]ALC!E147</f>
        <v>45065</v>
      </c>
      <c r="F147" s="23">
        <v>1</v>
      </c>
      <c r="G147" s="23" t="str">
        <f t="shared" si="22"/>
        <v>0%</v>
      </c>
      <c r="H147" s="17">
        <f t="shared" si="23"/>
        <v>0</v>
      </c>
      <c r="I147" s="17">
        <v>4.4686524033902171E-3</v>
      </c>
      <c r="J147" s="17">
        <f t="shared" si="24"/>
        <v>-4.4686524033902171E-3</v>
      </c>
      <c r="K147" s="26" t="str">
        <f>VLOOKUP(A147,'[2]MS Progress'!$A:$Q,6,FALSE)</f>
        <v>0%</v>
      </c>
      <c r="L147" s="18"/>
    </row>
    <row r="148" spans="1:12" ht="14.25" customHeight="1" x14ac:dyDescent="0.25">
      <c r="A148" s="25" t="str">
        <f>'[2]ALC-Master'!A148</f>
        <v>A1060.M.03</v>
      </c>
      <c r="B148" s="25" t="str">
        <f>'[2]ALC-Master'!C148</f>
        <v>UPS &amp; 19" Racks</v>
      </c>
      <c r="C148" s="20">
        <f>[2]ALC!G148</f>
        <v>8.9373048067804342E-3</v>
      </c>
      <c r="D148" s="21">
        <f>[2]ALC!D148</f>
        <v>45002</v>
      </c>
      <c r="E148" s="22">
        <f>[2]ALC!E148</f>
        <v>45068</v>
      </c>
      <c r="F148" s="23">
        <v>1</v>
      </c>
      <c r="G148" s="23" t="str">
        <f t="shared" si="22"/>
        <v>80%</v>
      </c>
      <c r="H148" s="17">
        <f t="shared" si="23"/>
        <v>7.1498438454243481E-3</v>
      </c>
      <c r="I148" s="17">
        <v>8.9373048067804342E-3</v>
      </c>
      <c r="J148" s="17">
        <f t="shared" si="24"/>
        <v>-1.7874609613560861E-3</v>
      </c>
      <c r="K148" s="26" t="str">
        <f>VLOOKUP(A148,'[2]MS Progress'!$A:$Q,6,FALSE)</f>
        <v>80%</v>
      </c>
      <c r="L148" s="18"/>
    </row>
    <row r="149" spans="1:12" ht="14.25" customHeight="1" x14ac:dyDescent="0.25">
      <c r="A149" s="25" t="str">
        <f>'[2]ALC-Master'!A149</f>
        <v>A1060.M.04</v>
      </c>
      <c r="B149" s="25" t="str">
        <f>'[2]ALC-Master'!C149</f>
        <v>Public Announcement System</v>
      </c>
      <c r="C149" s="20">
        <f>[2]ALC!G149</f>
        <v>5.7926975599502818E-3</v>
      </c>
      <c r="D149" s="21">
        <f>[2]ALC!D149</f>
        <v>45002</v>
      </c>
      <c r="E149" s="22">
        <f>[2]ALC!E149</f>
        <v>45044</v>
      </c>
      <c r="F149" s="23">
        <v>1</v>
      </c>
      <c r="G149" s="23" t="str">
        <f t="shared" si="22"/>
        <v>50%</v>
      </c>
      <c r="H149" s="17">
        <f t="shared" si="23"/>
        <v>2.8963487799751409E-3</v>
      </c>
      <c r="I149" s="17">
        <v>5.7926975599502818E-3</v>
      </c>
      <c r="J149" s="17">
        <f t="shared" si="24"/>
        <v>-2.8963487799751409E-3</v>
      </c>
      <c r="K149" s="26" t="str">
        <f>VLOOKUP(A149,'[2]MS Progress'!$A:$Q,6,FALSE)</f>
        <v>50%</v>
      </c>
      <c r="L149" s="18"/>
    </row>
    <row r="150" spans="1:12" ht="14.25" customHeight="1" x14ac:dyDescent="0.25">
      <c r="A150" s="25" t="str">
        <f>'[2]ALC-Master'!A150</f>
        <v>A1060.M.05</v>
      </c>
      <c r="B150" s="25" t="str">
        <f>'[2]ALC-Master'!C150</f>
        <v>Electrical &amp; Structured Cabling Services</v>
      </c>
      <c r="C150" s="20">
        <f>[2]ALC!G150</f>
        <v>1.3240451565600645E-2</v>
      </c>
      <c r="D150" s="21">
        <f>[2]ALC!D150</f>
        <v>45002</v>
      </c>
      <c r="E150" s="22">
        <f>[2]ALC!E150</f>
        <v>45098</v>
      </c>
      <c r="F150" s="23">
        <v>1</v>
      </c>
      <c r="G150" s="23" t="str">
        <f t="shared" si="22"/>
        <v>0%</v>
      </c>
      <c r="H150" s="17">
        <f t="shared" si="23"/>
        <v>0</v>
      </c>
      <c r="I150" s="17">
        <v>1.3240451565600645E-2</v>
      </c>
      <c r="J150" s="17">
        <f t="shared" si="24"/>
        <v>-1.3240451565600645E-2</v>
      </c>
      <c r="K150" s="26" t="str">
        <f>VLOOKUP(A150,'[2]MS Progress'!$A:$Q,6,FALSE)</f>
        <v>0%</v>
      </c>
      <c r="L150" s="18"/>
    </row>
    <row r="151" spans="1:12" ht="14.25" customHeight="1" x14ac:dyDescent="0.25">
      <c r="A151" s="25" t="str">
        <f>'[2]ALC-Master'!A151</f>
        <v>A1060.M.06</v>
      </c>
      <c r="B151" s="25" t="str">
        <f>'[2]ALC-Master'!C151</f>
        <v>Data Processing Equipment</v>
      </c>
      <c r="C151" s="20">
        <f>[2]ALC!G151</f>
        <v>8.9373048067804342E-3</v>
      </c>
      <c r="D151" s="21">
        <f>[2]ALC!D151</f>
        <v>45002</v>
      </c>
      <c r="E151" s="22">
        <f>[2]ALC!E151</f>
        <v>45068</v>
      </c>
      <c r="F151" s="23">
        <v>1</v>
      </c>
      <c r="G151" s="23" t="str">
        <f t="shared" si="22"/>
        <v>50%</v>
      </c>
      <c r="H151" s="17">
        <f t="shared" si="23"/>
        <v>4.4686524033902171E-3</v>
      </c>
      <c r="I151" s="17">
        <v>8.9373048067804342E-3</v>
      </c>
      <c r="J151" s="17">
        <f t="shared" si="24"/>
        <v>-4.4686524033902171E-3</v>
      </c>
      <c r="K151" s="26" t="str">
        <f>VLOOKUP(A151,'[2]MS Progress'!$A:$Q,6,FALSE)</f>
        <v>50%</v>
      </c>
      <c r="L151" s="18"/>
    </row>
    <row r="152" spans="1:12" ht="14.25" customHeight="1" x14ac:dyDescent="0.25">
      <c r="A152" s="25" t="str">
        <f>'[2]ALC-Master'!A152</f>
        <v>A1060.M.07</v>
      </c>
      <c r="B152" s="25" t="str">
        <f>'[2]ALC-Master'!C152</f>
        <v>Data Communication Equipment</v>
      </c>
      <c r="C152" s="20">
        <f>[2]ALC!G152</f>
        <v>8.9373048067804342E-3</v>
      </c>
      <c r="D152" s="21">
        <f>[2]ALC!D152</f>
        <v>45048</v>
      </c>
      <c r="E152" s="22">
        <f>[2]ALC!E152</f>
        <v>45111</v>
      </c>
      <c r="F152" s="23">
        <v>1</v>
      </c>
      <c r="G152" s="23" t="str">
        <f t="shared" si="22"/>
        <v>50%</v>
      </c>
      <c r="H152" s="17">
        <f t="shared" si="23"/>
        <v>4.4686524033902171E-3</v>
      </c>
      <c r="I152" s="17">
        <v>8.9373048067804342E-3</v>
      </c>
      <c r="J152" s="17">
        <f t="shared" si="24"/>
        <v>-4.4686524033902171E-3</v>
      </c>
      <c r="K152" s="26" t="str">
        <f>VLOOKUP(A152,'[2]MS Progress'!$A:$Q,6,FALSE)</f>
        <v>50%</v>
      </c>
      <c r="L152" s="18"/>
    </row>
    <row r="153" spans="1:12" ht="14.25" customHeight="1" x14ac:dyDescent="0.25">
      <c r="A153" s="25" t="str">
        <f>'[2]ALC-Master'!A153</f>
        <v>A1060.M.08</v>
      </c>
      <c r="B153" s="25" t="str">
        <f>'[2]ALC-Master'!C153</f>
        <v>Station Integrated with Interfacing Controller for Receipt, Intercom, RFID, Biometrics, Traffic Lights, Vehicle Barrier</v>
      </c>
      <c r="C153" s="20">
        <f>[2]ALC!G153</f>
        <v>1.3240451565600645E-2</v>
      </c>
      <c r="D153" s="21">
        <f>[2]ALC!D153</f>
        <v>45002</v>
      </c>
      <c r="E153" s="22">
        <f>[2]ALC!E153</f>
        <v>45098</v>
      </c>
      <c r="F153" s="23">
        <v>1</v>
      </c>
      <c r="G153" s="23" t="str">
        <f t="shared" si="22"/>
        <v>65%</v>
      </c>
      <c r="H153" s="17">
        <f t="shared" si="23"/>
        <v>8.6062935176404193E-3</v>
      </c>
      <c r="I153" s="17">
        <v>1.3240451565600645E-2</v>
      </c>
      <c r="J153" s="17">
        <f t="shared" si="24"/>
        <v>-4.6341580479602254E-3</v>
      </c>
      <c r="K153" s="26" t="str">
        <f>VLOOKUP(A153,'[2]MS Progress'!$A:$Q,6,FALSE)</f>
        <v>65%</v>
      </c>
      <c r="L153" s="18"/>
    </row>
    <row r="154" spans="1:12" ht="14.25" customHeight="1" x14ac:dyDescent="0.25">
      <c r="A154" s="25" t="str">
        <f>'[2]ALC-Master'!A154</f>
        <v>A1060.M.09</v>
      </c>
      <c r="B154" s="25" t="str">
        <f>'[2]ALC-Master'!C154</f>
        <v>Video Recording System, LPR Hardware and Accessories</v>
      </c>
      <c r="C154" s="20">
        <f>[2]ALC!G154</f>
        <v>1.0426855607910507E-2</v>
      </c>
      <c r="D154" s="21">
        <f>[2]ALC!D154</f>
        <v>45013</v>
      </c>
      <c r="E154" s="22">
        <f>[2]ALC!E154</f>
        <v>45089</v>
      </c>
      <c r="F154" s="23">
        <v>1</v>
      </c>
      <c r="G154" s="23" t="str">
        <f t="shared" si="22"/>
        <v>75%</v>
      </c>
      <c r="H154" s="17">
        <f t="shared" si="23"/>
        <v>7.8201417059328808E-3</v>
      </c>
      <c r="I154" s="17">
        <v>1.0426855607910507E-2</v>
      </c>
      <c r="J154" s="17">
        <f t="shared" si="24"/>
        <v>-2.6067139019776264E-3</v>
      </c>
      <c r="K154" s="26" t="str">
        <f>VLOOKUP(A154,'[2]MS Progress'!$A:$Q,6,FALSE)</f>
        <v>75%</v>
      </c>
      <c r="L154" s="18"/>
    </row>
    <row r="155" spans="1:12" ht="14.25" customHeight="1" x14ac:dyDescent="0.25">
      <c r="A155" s="25" t="str">
        <f>'[2]ALC-Master'!A155</f>
        <v>A1060.M.10</v>
      </c>
      <c r="B155" s="25" t="str">
        <f>'[2]ALC-Master'!C155</f>
        <v>Zonal Detection System</v>
      </c>
      <c r="C155" s="20">
        <f>[2]ALC!G155</f>
        <v>1.3240451565600645E-2</v>
      </c>
      <c r="D155" s="21">
        <f>[2]ALC!D155</f>
        <v>45069</v>
      </c>
      <c r="E155" s="22">
        <f>[2]ALC!E155</f>
        <v>45163</v>
      </c>
      <c r="F155" s="23">
        <v>1</v>
      </c>
      <c r="G155" s="23" t="str">
        <f t="shared" si="22"/>
        <v>35%</v>
      </c>
      <c r="H155" s="17">
        <f t="shared" si="23"/>
        <v>4.6341580479602254E-3</v>
      </c>
      <c r="I155" s="17">
        <v>1.3240451565600645E-2</v>
      </c>
      <c r="J155" s="17">
        <f t="shared" si="24"/>
        <v>-8.6062935176404193E-3</v>
      </c>
      <c r="K155" s="26" t="str">
        <f>VLOOKUP(A155,'[2]MS Progress'!$A:$Q,6,FALSE)</f>
        <v>35%</v>
      </c>
      <c r="L155" s="18"/>
    </row>
    <row r="156" spans="1:12" ht="14.25" customHeight="1" x14ac:dyDescent="0.25">
      <c r="A156" s="25" t="str">
        <f>'[2]ALC-Master'!A156</f>
        <v>A1060.M.11</v>
      </c>
      <c r="B156" s="25" t="str">
        <f>'[2]ALC-Master'!C156</f>
        <v>Radioactive Devices</v>
      </c>
      <c r="C156" s="20">
        <f>[2]ALC!G156</f>
        <v>5.95820320452029E-3</v>
      </c>
      <c r="D156" s="21">
        <f>[2]ALC!D156</f>
        <v>45033</v>
      </c>
      <c r="E156" s="22">
        <f>[2]ALC!E156</f>
        <v>45076</v>
      </c>
      <c r="F156" s="23">
        <v>1</v>
      </c>
      <c r="G156" s="23" t="str">
        <f t="shared" si="22"/>
        <v>90%</v>
      </c>
      <c r="H156" s="17">
        <f t="shared" si="23"/>
        <v>5.362382884068261E-3</v>
      </c>
      <c r="I156" s="17">
        <v>5.95820320452029E-3</v>
      </c>
      <c r="J156" s="17">
        <f t="shared" si="24"/>
        <v>-5.95820320452029E-4</v>
      </c>
      <c r="K156" s="26" t="str">
        <f>VLOOKUP(A156,'[2]MS Progress'!$A:$Q,6,FALSE)</f>
        <v>90%</v>
      </c>
      <c r="L156" s="18"/>
    </row>
    <row r="157" spans="1:12" ht="14.25" customHeight="1" x14ac:dyDescent="0.25">
      <c r="A157" s="25" t="str">
        <f>'[2]ALC-Master'!A157</f>
        <v>A1060.M.12</v>
      </c>
      <c r="B157" s="25" t="str">
        <f>'[2]ALC-Master'!C157</f>
        <v>Heat Detection Devices</v>
      </c>
      <c r="C157" s="20">
        <f>[2]ALC!G157</f>
        <v>7.4477540056503621E-3</v>
      </c>
      <c r="D157" s="21">
        <f>[2]ALC!D157</f>
        <v>44996</v>
      </c>
      <c r="E157" s="22">
        <f>[2]ALC!E157</f>
        <v>45051</v>
      </c>
      <c r="F157" s="23">
        <v>1</v>
      </c>
      <c r="G157" s="23" t="str">
        <f t="shared" si="22"/>
        <v>90%</v>
      </c>
      <c r="H157" s="17">
        <f t="shared" si="23"/>
        <v>6.7029786050853257E-3</v>
      </c>
      <c r="I157" s="17">
        <v>7.4477540056503621E-3</v>
      </c>
      <c r="J157" s="17">
        <f t="shared" si="24"/>
        <v>-7.4477540056503647E-4</v>
      </c>
      <c r="K157" s="26" t="str">
        <f>VLOOKUP(A157,'[2]MS Progress'!$A:$Q,6,FALSE)</f>
        <v>90%</v>
      </c>
      <c r="L157" s="18"/>
    </row>
    <row r="158" spans="1:12" ht="14.25" customHeight="1" x14ac:dyDescent="0.25">
      <c r="A158" s="25" t="str">
        <f>'[2]ALC-Master'!A158</f>
        <v>A1060.M.13</v>
      </c>
      <c r="B158" s="25" t="str">
        <f>'[2]ALC-Master'!C158</f>
        <v>Ash Truck Positioning and Empty/Full Detection Devices</v>
      </c>
      <c r="C158" s="20">
        <f>[2]ALC!G158</f>
        <v>8.9373048067804342E-3</v>
      </c>
      <c r="D158" s="21">
        <f>[2]ALC!D158</f>
        <v>45033</v>
      </c>
      <c r="E158" s="22">
        <f>[2]ALC!E158</f>
        <v>45097</v>
      </c>
      <c r="F158" s="23">
        <v>1</v>
      </c>
      <c r="G158" s="23" t="str">
        <f t="shared" si="22"/>
        <v>40%</v>
      </c>
      <c r="H158" s="17">
        <f t="shared" si="23"/>
        <v>3.574921922712174E-3</v>
      </c>
      <c r="I158" s="17">
        <v>8.9373048067804342E-3</v>
      </c>
      <c r="J158" s="17">
        <f t="shared" si="24"/>
        <v>-5.3623828840682602E-3</v>
      </c>
      <c r="K158" s="26" t="str">
        <f>VLOOKUP(A158,'[2]MS Progress'!$A:$Q,6,FALSE)</f>
        <v>40%</v>
      </c>
      <c r="L158" s="18"/>
    </row>
    <row r="159" spans="1:12" ht="14.25" customHeight="1" x14ac:dyDescent="0.25">
      <c r="A159" s="25" t="str">
        <f>'[2]ALC-Master'!A159</f>
        <v>A1070</v>
      </c>
      <c r="B159" s="25" t="str">
        <f>'[2]ALC-Master'!C159</f>
        <v>Completion of FAT for Weighbridge System</v>
      </c>
      <c r="C159" s="20"/>
      <c r="D159" s="21"/>
      <c r="E159" s="22"/>
      <c r="F159" s="23"/>
      <c r="G159" s="23"/>
      <c r="H159" s="17"/>
      <c r="I159" s="17"/>
      <c r="J159" s="17"/>
      <c r="K159" s="18"/>
      <c r="L159" s="18"/>
    </row>
    <row r="160" spans="1:12" ht="14.25" customHeight="1" x14ac:dyDescent="0.25">
      <c r="A160" s="25" t="str">
        <f>'[2]ALC-Master'!A160</f>
        <v>A1070.F.01</v>
      </c>
      <c r="B160" s="25" t="str">
        <f>'[2]ALC-Master'!C160</f>
        <v>FAT for Weighbridge</v>
      </c>
      <c r="C160" s="20">
        <f>[2]ALC!G160</f>
        <v>8.440787873070411E-3</v>
      </c>
      <c r="D160" s="21">
        <f>[2]ALC!D160</f>
        <v>45131</v>
      </c>
      <c r="E160" s="22">
        <f>[2]ALC!E160</f>
        <v>45190</v>
      </c>
      <c r="F160" s="23">
        <v>1</v>
      </c>
      <c r="G160" s="23" t="str">
        <f t="shared" ref="G160:G163" si="25">K160</f>
        <v>0%</v>
      </c>
      <c r="H160" s="17">
        <f t="shared" ref="H160:H163" si="26">(G160/F160)*C160</f>
        <v>0</v>
      </c>
      <c r="I160" s="17">
        <v>8.440787873070411E-3</v>
      </c>
      <c r="J160" s="17">
        <f t="shared" ref="J160:J163" si="27">H160-I160</f>
        <v>-8.440787873070411E-3</v>
      </c>
      <c r="K160" s="26" t="str">
        <f>VLOOKUP(A160,'[2]MS Progress'!$A:$Q,6,FALSE)</f>
        <v>0%</v>
      </c>
      <c r="L160" s="18"/>
    </row>
    <row r="161" spans="1:12" ht="14.25" customHeight="1" x14ac:dyDescent="0.25">
      <c r="A161" s="25" t="str">
        <f>'[2]ALC-Master'!A161</f>
        <v>A1070.F.02</v>
      </c>
      <c r="B161" s="25" t="str">
        <f>'[2]ALC-Master'!C161</f>
        <v>FAT for Zonal Detection</v>
      </c>
      <c r="C161" s="20">
        <f>[2]ALC!G161</f>
        <v>7.4477540056503621E-3</v>
      </c>
      <c r="D161" s="21">
        <f>[2]ALC!D161</f>
        <v>45164</v>
      </c>
      <c r="E161" s="22">
        <f>[2]ALC!E161</f>
        <v>45216</v>
      </c>
      <c r="F161" s="23">
        <v>1</v>
      </c>
      <c r="G161" s="23" t="str">
        <f t="shared" si="25"/>
        <v>0%</v>
      </c>
      <c r="H161" s="17">
        <f t="shared" si="26"/>
        <v>0</v>
      </c>
      <c r="I161" s="17">
        <v>7.4477540056503621E-3</v>
      </c>
      <c r="J161" s="17">
        <f t="shared" si="27"/>
        <v>-7.4477540056503621E-3</v>
      </c>
      <c r="K161" s="26" t="str">
        <f>VLOOKUP(A161,'[2]MS Progress'!$A:$Q,6,FALSE)</f>
        <v>0%</v>
      </c>
      <c r="L161" s="18"/>
    </row>
    <row r="162" spans="1:12" ht="14.25" customHeight="1" x14ac:dyDescent="0.25">
      <c r="A162" s="25" t="str">
        <f>'[2]ALC-Master'!A162</f>
        <v>A1070.F.03</v>
      </c>
      <c r="B162" s="25" t="str">
        <f>'[2]ALC-Master'!C162</f>
        <v>FAT for Ash Truck Positioning and Empty/Full Detection Devices</v>
      </c>
      <c r="C162" s="20">
        <f>[2]ALC!G162</f>
        <v>7.4477540056503621E-3</v>
      </c>
      <c r="D162" s="21">
        <f>[2]ALC!D162</f>
        <v>45112</v>
      </c>
      <c r="E162" s="22">
        <f>[2]ALC!E162</f>
        <v>45164</v>
      </c>
      <c r="F162" s="23">
        <v>1</v>
      </c>
      <c r="G162" s="23" t="str">
        <f t="shared" si="25"/>
        <v>0%</v>
      </c>
      <c r="H162" s="17">
        <f t="shared" si="26"/>
        <v>0</v>
      </c>
      <c r="I162" s="17">
        <v>7.4477540056503621E-3</v>
      </c>
      <c r="J162" s="17">
        <f t="shared" si="27"/>
        <v>-7.4477540056503621E-3</v>
      </c>
      <c r="K162" s="26" t="str">
        <f>VLOOKUP(A162,'[2]MS Progress'!$A:$Q,6,FALSE)</f>
        <v>0%</v>
      </c>
      <c r="L162" s="18"/>
    </row>
    <row r="163" spans="1:12" ht="14.25" customHeight="1" x14ac:dyDescent="0.25">
      <c r="A163" s="25" t="str">
        <f>'[2]ALC-Master'!A163</f>
        <v>A1070.F.04</v>
      </c>
      <c r="B163" s="25" t="str">
        <f>'[2]ALC-Master'!C163</f>
        <v>Preparation of Holding Area for weighbridge platforms</v>
      </c>
      <c r="C163" s="20">
        <f>[2]ALC!G163</f>
        <v>6.6202257828003222E-4</v>
      </c>
      <c r="D163" s="21">
        <f>[2]ALC!D163</f>
        <v>45219</v>
      </c>
      <c r="E163" s="22">
        <f>[2]ALC!E163</f>
        <v>45223</v>
      </c>
      <c r="F163" s="23">
        <v>1</v>
      </c>
      <c r="G163" s="23" t="str">
        <f t="shared" si="25"/>
        <v>0%</v>
      </c>
      <c r="H163" s="17">
        <f t="shared" si="26"/>
        <v>0</v>
      </c>
      <c r="I163" s="17">
        <v>6.6202257828003222E-4</v>
      </c>
      <c r="J163" s="17">
        <f t="shared" si="27"/>
        <v>-6.6202257828003222E-4</v>
      </c>
      <c r="K163" s="26" t="str">
        <f>VLOOKUP(A163,'[2]MS Progress'!$A:$Q,6,FALSE)</f>
        <v>0%</v>
      </c>
      <c r="L163" s="18"/>
    </row>
    <row r="164" spans="1:12" ht="14.25" customHeight="1" x14ac:dyDescent="0.25">
      <c r="A164" s="25" t="str">
        <f>'[2]ALC-Master'!A164</f>
        <v>A1080</v>
      </c>
      <c r="B164" s="25" t="str">
        <f>'[2]ALC-Master'!C164</f>
        <v>Delivery to Site</v>
      </c>
      <c r="C164" s="20"/>
      <c r="D164" s="21"/>
      <c r="E164" s="22"/>
      <c r="F164" s="23"/>
      <c r="G164" s="23"/>
      <c r="H164" s="17"/>
      <c r="I164" s="17"/>
      <c r="J164" s="17"/>
      <c r="K164" s="18"/>
      <c r="L164" s="18"/>
    </row>
    <row r="165" spans="1:12" ht="14.25" customHeight="1" x14ac:dyDescent="0.25">
      <c r="A165" s="25" t="str">
        <f>'[2]ALC-Master'!A165</f>
        <v>A1080.D.00</v>
      </c>
      <c r="B165" s="25" t="str">
        <f>'[2]ALC-Master'!C165</f>
        <v>Architectural and Building Service Works</v>
      </c>
      <c r="C165" s="20">
        <f>[2]ALC!G165</f>
        <v>1.4730002366730718E-4</v>
      </c>
      <c r="D165" s="21">
        <f>[2]ALC!D165</f>
        <v>45191</v>
      </c>
      <c r="E165" s="22">
        <f>[2]ALC!E165</f>
        <v>45191</v>
      </c>
      <c r="F165" s="23">
        <v>1</v>
      </c>
      <c r="G165" s="23" t="str">
        <f t="shared" ref="G165:G170" si="28">K165</f>
        <v>0%</v>
      </c>
      <c r="H165" s="17">
        <f t="shared" ref="H165:H170" si="29">(G165/F165)*C165</f>
        <v>0</v>
      </c>
      <c r="I165" s="17">
        <v>1.4730002366730718E-4</v>
      </c>
      <c r="J165" s="17">
        <f t="shared" ref="J165:J170" si="30">H165-I165</f>
        <v>-1.4730002366730718E-4</v>
      </c>
      <c r="K165" s="26" t="str">
        <f>VLOOKUP(A165,'[2]MS Progress'!$A:$Q,6,FALSE)</f>
        <v>0%</v>
      </c>
      <c r="L165" s="18"/>
    </row>
    <row r="166" spans="1:12" ht="14.25" customHeight="1" x14ac:dyDescent="0.25">
      <c r="A166" s="25" t="str">
        <f>'[2]ALC-Master'!A166</f>
        <v>A1080.D.01</v>
      </c>
      <c r="B166" s="25" t="str">
        <f>'[2]ALC-Master'!C166</f>
        <v>Weighbridge System delivery</v>
      </c>
      <c r="C166" s="20">
        <f>[2]ALC!G166</f>
        <v>5.7099447376652776E-2</v>
      </c>
      <c r="D166" s="21">
        <f>[2]ALC!D166</f>
        <v>45224</v>
      </c>
      <c r="E166" s="22">
        <f>[2]ALC!E166</f>
        <v>45293</v>
      </c>
      <c r="F166" s="23">
        <v>1</v>
      </c>
      <c r="G166" s="23" t="str">
        <f t="shared" si="28"/>
        <v>0%</v>
      </c>
      <c r="H166" s="17">
        <f t="shared" si="29"/>
        <v>0</v>
      </c>
      <c r="I166" s="17">
        <v>5.7099447376652776E-2</v>
      </c>
      <c r="J166" s="17">
        <f t="shared" si="30"/>
        <v>-5.7099447376652776E-2</v>
      </c>
      <c r="K166" s="26" t="str">
        <f>VLOOKUP(A166,'[2]MS Progress'!$A:$Q,6,FALSE)</f>
        <v>0%</v>
      </c>
      <c r="L166" s="18"/>
    </row>
    <row r="167" spans="1:12" ht="14.25" customHeight="1" x14ac:dyDescent="0.25">
      <c r="A167" s="25" t="str">
        <f>'[2]ALC-Master'!A167</f>
        <v>A1080.D.02</v>
      </c>
      <c r="B167" s="25" t="str">
        <f>'[2]ALC-Master'!C167</f>
        <v>Other Weighbridge Equipments</v>
      </c>
      <c r="C167" s="20">
        <f>[2]ALC!G167</f>
        <v>9.4338217404904591E-3</v>
      </c>
      <c r="D167" s="21">
        <f>[2]ALC!D167</f>
        <v>45224</v>
      </c>
      <c r="E167" s="22">
        <f>[2]ALC!E167</f>
        <v>45293</v>
      </c>
      <c r="F167" s="23">
        <v>1</v>
      </c>
      <c r="G167" s="23" t="str">
        <f t="shared" si="28"/>
        <v>0%</v>
      </c>
      <c r="H167" s="17">
        <f t="shared" si="29"/>
        <v>0</v>
      </c>
      <c r="I167" s="17">
        <v>9.4338217404904591E-3</v>
      </c>
      <c r="J167" s="17">
        <f t="shared" si="30"/>
        <v>-9.4338217404904591E-3</v>
      </c>
      <c r="K167" s="26" t="str">
        <f>VLOOKUP(A167,'[2]MS Progress'!$A:$Q,6,FALSE)</f>
        <v>0%</v>
      </c>
      <c r="L167" s="18"/>
    </row>
    <row r="168" spans="1:12" ht="14.25" customHeight="1" x14ac:dyDescent="0.25">
      <c r="A168" s="25" t="str">
        <f>'[2]ALC-Master'!A168</f>
        <v>A1080.D.03</v>
      </c>
      <c r="B168" s="25" t="str">
        <f>'[2]ALC-Master'!C168</f>
        <v>Weighbridge Platform</v>
      </c>
      <c r="C168" s="20">
        <f>[2]ALC!G168</f>
        <v>0</v>
      </c>
      <c r="D168" s="21">
        <f>[2]ALC!D168</f>
        <v>45224</v>
      </c>
      <c r="E168" s="22">
        <f>[2]ALC!E168</f>
        <v>45293</v>
      </c>
      <c r="F168" s="23">
        <v>1</v>
      </c>
      <c r="G168" s="23" t="str">
        <f t="shared" si="28"/>
        <v>100%</v>
      </c>
      <c r="H168" s="17">
        <f t="shared" si="29"/>
        <v>0</v>
      </c>
      <c r="I168" s="17">
        <v>0</v>
      </c>
      <c r="J168" s="17">
        <f t="shared" si="30"/>
        <v>0</v>
      </c>
      <c r="K168" s="26" t="str">
        <f>VLOOKUP(A168,'[2]MS Progress'!$A:$Q,6,FALSE)</f>
        <v>100%</v>
      </c>
      <c r="L168" s="18"/>
    </row>
    <row r="169" spans="1:12" ht="14.25" customHeight="1" x14ac:dyDescent="0.25">
      <c r="A169" s="25" t="str">
        <f>'[2]ALC-Master'!A169</f>
        <v>A1080.D.04</v>
      </c>
      <c r="B169" s="25" t="str">
        <f>'[2]ALC-Master'!C169</f>
        <v>Zonal Detection System delivery</v>
      </c>
      <c r="C169" s="20">
        <f>[2]ALC!G169</f>
        <v>5.95820320452029E-3</v>
      </c>
      <c r="D169" s="21">
        <f>[2]ALC!D169</f>
        <v>45224</v>
      </c>
      <c r="E169" s="22">
        <f>[2]ALC!E169</f>
        <v>45266</v>
      </c>
      <c r="F169" s="23">
        <v>1</v>
      </c>
      <c r="G169" s="23" t="str">
        <f t="shared" si="28"/>
        <v>0%</v>
      </c>
      <c r="H169" s="17">
        <f t="shared" si="29"/>
        <v>0</v>
      </c>
      <c r="I169" s="17">
        <v>5.95820320452029E-3</v>
      </c>
      <c r="J169" s="17">
        <f t="shared" si="30"/>
        <v>-5.95820320452029E-3</v>
      </c>
      <c r="K169" s="26" t="str">
        <f>VLOOKUP(A169,'[2]MS Progress'!$A:$Q,6,FALSE)</f>
        <v>0%</v>
      </c>
      <c r="L169" s="18"/>
    </row>
    <row r="170" spans="1:12" ht="14.25" customHeight="1" x14ac:dyDescent="0.25">
      <c r="A170" s="25" t="str">
        <f>'[2]ALC-Master'!A170</f>
        <v>A1080.D.05</v>
      </c>
      <c r="B170" s="25" t="str">
        <f>'[2]ALC-Master'!C170</f>
        <v>Ash Truck Positioning and Empty/Full Detection Devices delivery</v>
      </c>
      <c r="C170" s="20">
        <f>[2]ALC!G170</f>
        <v>5.95820320452029E-3</v>
      </c>
      <c r="D170" s="21">
        <f>[2]ALC!D170</f>
        <v>45224</v>
      </c>
      <c r="E170" s="22">
        <f>[2]ALC!E170</f>
        <v>45266</v>
      </c>
      <c r="F170" s="23">
        <v>1</v>
      </c>
      <c r="G170" s="23" t="str">
        <f t="shared" si="28"/>
        <v>0%</v>
      </c>
      <c r="H170" s="17">
        <f t="shared" si="29"/>
        <v>0</v>
      </c>
      <c r="I170" s="17">
        <v>5.95820320452029E-3</v>
      </c>
      <c r="J170" s="17">
        <f t="shared" si="30"/>
        <v>-5.95820320452029E-3</v>
      </c>
      <c r="K170" s="26" t="str">
        <f>VLOOKUP(A170,'[2]MS Progress'!$A:$Q,6,FALSE)</f>
        <v>0%</v>
      </c>
      <c r="L170" s="18"/>
    </row>
    <row r="171" spans="1:12" ht="14.25" customHeight="1" x14ac:dyDescent="0.25">
      <c r="A171" s="25" t="str">
        <f>'[2]ALC-Master'!A171</f>
        <v>A1090</v>
      </c>
      <c r="B171" s="25" t="str">
        <f>'[2]ALC-Master'!C171</f>
        <v>Installation</v>
      </c>
      <c r="C171" s="20"/>
      <c r="D171" s="21"/>
      <c r="E171" s="22"/>
      <c r="F171" s="23"/>
      <c r="G171" s="23"/>
      <c r="H171" s="17"/>
      <c r="I171" s="17"/>
      <c r="J171" s="17"/>
      <c r="K171" s="18"/>
      <c r="L171" s="18"/>
    </row>
    <row r="172" spans="1:12" ht="14.25" customHeight="1" x14ac:dyDescent="0.25">
      <c r="A172" s="25" t="str">
        <f>'[2]ALC-Master'!A172</f>
        <v>A1090.I.01</v>
      </c>
      <c r="B172" s="25" t="str">
        <f>'[2]ALC-Master'!C172</f>
        <v>Weighbridge Foundation &amp; Control Room ready for Installation</v>
      </c>
      <c r="C172" s="20">
        <f>[2]ALC!G172</f>
        <v>4.9651693371002413E-4</v>
      </c>
      <c r="D172" s="21">
        <f>[2]ALC!D172</f>
        <v>45294</v>
      </c>
      <c r="E172" s="22">
        <f>[2]ALC!E172</f>
        <v>45296</v>
      </c>
      <c r="F172" s="23">
        <v>1</v>
      </c>
      <c r="G172" s="23" t="str">
        <f t="shared" ref="G172:G192" si="31">K172</f>
        <v>0%</v>
      </c>
      <c r="H172" s="17">
        <f t="shared" ref="H172:H192" si="32">(G172/F172)*C172</f>
        <v>0</v>
      </c>
      <c r="I172" s="17">
        <v>4.9651693371002413E-4</v>
      </c>
      <c r="J172" s="17">
        <f t="shared" ref="J172:J192" si="33">H172-I172</f>
        <v>-4.9651693371002413E-4</v>
      </c>
      <c r="K172" s="26" t="str">
        <f>VLOOKUP(A172,'[2]MS Progress'!$A:$Q,6,FALSE)</f>
        <v>0%</v>
      </c>
      <c r="L172" s="18"/>
    </row>
    <row r="173" spans="1:12" ht="14.25" customHeight="1" x14ac:dyDescent="0.25">
      <c r="A173" s="25" t="str">
        <f>'[2]ALC-Master'!A173</f>
        <v>A1090.I.02</v>
      </c>
      <c r="B173" s="25" t="str">
        <f>'[2]ALC-Master'!C173</f>
        <v>Electrical and instrumentation works</v>
      </c>
      <c r="C173" s="20">
        <f>[2]ALC!G173</f>
        <v>1.6550564457000805E-4</v>
      </c>
      <c r="D173" s="21">
        <f>[2]ALC!D173</f>
        <v>45297</v>
      </c>
      <c r="E173" s="22">
        <f>[2]ALC!E173</f>
        <v>45297</v>
      </c>
      <c r="F173" s="23">
        <v>1</v>
      </c>
      <c r="G173" s="23" t="str">
        <f t="shared" si="31"/>
        <v>0%</v>
      </c>
      <c r="H173" s="17">
        <f t="shared" si="32"/>
        <v>0</v>
      </c>
      <c r="I173" s="17">
        <v>1.6550564457000805E-4</v>
      </c>
      <c r="J173" s="17">
        <f t="shared" si="33"/>
        <v>-1.6550564457000805E-4</v>
      </c>
      <c r="K173" s="26" t="str">
        <f>VLOOKUP(A173,'[2]MS Progress'!$A:$Q,6,FALSE)</f>
        <v>0%</v>
      </c>
      <c r="L173" s="18"/>
    </row>
    <row r="174" spans="1:12" ht="14.25" customHeight="1" x14ac:dyDescent="0.25">
      <c r="A174" s="25" t="str">
        <f>'[2]ALC-Master'!A174</f>
        <v>A1090.I.03</v>
      </c>
      <c r="B174" s="25" t="str">
        <f>'[2]ALC-Master'!C174</f>
        <v>Public Announcement System</v>
      </c>
      <c r="C174" s="20">
        <f>[2]ALC!G174</f>
        <v>5.95820320452029E-3</v>
      </c>
      <c r="D174" s="21">
        <f>[2]ALC!D174</f>
        <v>45299</v>
      </c>
      <c r="E174" s="22">
        <f>[2]ALC!E174</f>
        <v>45342</v>
      </c>
      <c r="F174" s="23">
        <v>1</v>
      </c>
      <c r="G174" s="23" t="str">
        <f t="shared" si="31"/>
        <v>0%</v>
      </c>
      <c r="H174" s="17">
        <f t="shared" si="32"/>
        <v>0</v>
      </c>
      <c r="I174" s="17">
        <v>5.95820320452029E-3</v>
      </c>
      <c r="J174" s="17">
        <f t="shared" si="33"/>
        <v>-5.95820320452029E-3</v>
      </c>
      <c r="K174" s="26" t="str">
        <f>VLOOKUP(A174,'[2]MS Progress'!$A:$Q,6,FALSE)</f>
        <v>0%</v>
      </c>
      <c r="L174" s="18"/>
    </row>
    <row r="175" spans="1:12" ht="14.25" customHeight="1" x14ac:dyDescent="0.25">
      <c r="A175" s="25" t="str">
        <f>'[2]ALC-Master'!A175</f>
        <v>A1090.I.04</v>
      </c>
      <c r="B175" s="25" t="str">
        <f>'[2]ALC-Master'!C175</f>
        <v>Weighbridges</v>
      </c>
      <c r="C175" s="20">
        <f>[2]ALC!G175</f>
        <v>1.5888541878720772E-2</v>
      </c>
      <c r="D175" s="21">
        <f>[2]ALC!D175</f>
        <v>45310</v>
      </c>
      <c r="E175" s="22">
        <f>[2]ALC!E175</f>
        <v>45427</v>
      </c>
      <c r="F175" s="23">
        <v>1</v>
      </c>
      <c r="G175" s="23" t="str">
        <f t="shared" si="31"/>
        <v>0%</v>
      </c>
      <c r="H175" s="17">
        <f t="shared" si="32"/>
        <v>0</v>
      </c>
      <c r="I175" s="17">
        <v>1.5888541878720772E-2</v>
      </c>
      <c r="J175" s="17">
        <f t="shared" si="33"/>
        <v>-1.5888541878720772E-2</v>
      </c>
      <c r="K175" s="26" t="str">
        <f>VLOOKUP(A175,'[2]MS Progress'!$A:$Q,6,FALSE)</f>
        <v>0%</v>
      </c>
      <c r="L175" s="18"/>
    </row>
    <row r="176" spans="1:12" ht="14.25" customHeight="1" x14ac:dyDescent="0.25">
      <c r="A176" s="25" t="str">
        <f>'[2]ALC-Master'!A176</f>
        <v>A1090.I.05</v>
      </c>
      <c r="B176" s="25" t="str">
        <f>'[2]ALC-Master'!C176</f>
        <v>Furniture</v>
      </c>
      <c r="C176" s="20">
        <f>[2]ALC!G176</f>
        <v>2.979101602260145E-3</v>
      </c>
      <c r="D176" s="21">
        <f>[2]ALC!D176</f>
        <v>45299</v>
      </c>
      <c r="E176" s="22">
        <f>[2]ALC!E176</f>
        <v>45318</v>
      </c>
      <c r="F176" s="23">
        <v>1</v>
      </c>
      <c r="G176" s="23" t="str">
        <f t="shared" si="31"/>
        <v>0%</v>
      </c>
      <c r="H176" s="17">
        <f t="shared" si="32"/>
        <v>0</v>
      </c>
      <c r="I176" s="17">
        <v>2.979101602260145E-3</v>
      </c>
      <c r="J176" s="17">
        <f t="shared" si="33"/>
        <v>-2.979101602260145E-3</v>
      </c>
      <c r="K176" s="26" t="str">
        <f>VLOOKUP(A176,'[2]MS Progress'!$A:$Q,6,FALSE)</f>
        <v>0%</v>
      </c>
      <c r="L176" s="18"/>
    </row>
    <row r="177" spans="1:12" ht="14.25" customHeight="1" x14ac:dyDescent="0.25">
      <c r="A177" s="25" t="str">
        <f>'[2]ALC-Master'!A177</f>
        <v>A1090.I.06</v>
      </c>
      <c r="B177" s="25" t="str">
        <f>'[2]ALC-Master'!C177</f>
        <v>Rack</v>
      </c>
      <c r="C177" s="20">
        <f>[2]ALC!G177</f>
        <v>2.979101602260145E-3</v>
      </c>
      <c r="D177" s="21">
        <f>[2]ALC!D177</f>
        <v>45299</v>
      </c>
      <c r="E177" s="22">
        <f>[2]ALC!E177</f>
        <v>45318</v>
      </c>
      <c r="F177" s="23">
        <v>1</v>
      </c>
      <c r="G177" s="23" t="str">
        <f t="shared" si="31"/>
        <v>0%</v>
      </c>
      <c r="H177" s="17">
        <f t="shared" si="32"/>
        <v>0</v>
      </c>
      <c r="I177" s="17">
        <v>2.979101602260145E-3</v>
      </c>
      <c r="J177" s="17">
        <f t="shared" si="33"/>
        <v>-2.979101602260145E-3</v>
      </c>
      <c r="K177" s="26" t="str">
        <f>VLOOKUP(A177,'[2]MS Progress'!$A:$Q,6,FALSE)</f>
        <v>0%</v>
      </c>
      <c r="L177" s="18"/>
    </row>
    <row r="178" spans="1:12" ht="14.25" customHeight="1" x14ac:dyDescent="0.25">
      <c r="A178" s="25" t="str">
        <f>'[2]ALC-Master'!A178</f>
        <v>A1090.I.07</v>
      </c>
      <c r="B178" s="25" t="str">
        <f>'[2]ALC-Master'!C178</f>
        <v>UPS</v>
      </c>
      <c r="C178" s="20">
        <f>[2]ALC!G178</f>
        <v>2.979101602260145E-3</v>
      </c>
      <c r="D178" s="21">
        <f>[2]ALC!D178</f>
        <v>45299</v>
      </c>
      <c r="E178" s="22">
        <f>[2]ALC!E178</f>
        <v>45318</v>
      </c>
      <c r="F178" s="23">
        <v>1</v>
      </c>
      <c r="G178" s="23" t="str">
        <f t="shared" si="31"/>
        <v>0%</v>
      </c>
      <c r="H178" s="17">
        <f t="shared" si="32"/>
        <v>0</v>
      </c>
      <c r="I178" s="17">
        <v>2.979101602260145E-3</v>
      </c>
      <c r="J178" s="17">
        <f t="shared" si="33"/>
        <v>-2.979101602260145E-3</v>
      </c>
      <c r="K178" s="26" t="str">
        <f>VLOOKUP(A178,'[2]MS Progress'!$A:$Q,6,FALSE)</f>
        <v>0%</v>
      </c>
      <c r="L178" s="18"/>
    </row>
    <row r="179" spans="1:12" ht="14.25" customHeight="1" x14ac:dyDescent="0.25">
      <c r="A179" s="25" t="str">
        <f>'[2]ALC-Master'!A179</f>
        <v>A1090.I.08</v>
      </c>
      <c r="B179" s="25" t="str">
        <f>'[2]ALC-Master'!C179</f>
        <v>Data Processing System (DPS)</v>
      </c>
      <c r="C179" s="20">
        <f>[2]ALC!G179</f>
        <v>4.4686524033902171E-3</v>
      </c>
      <c r="D179" s="21">
        <f>[2]ALC!D179</f>
        <v>45299</v>
      </c>
      <c r="E179" s="22">
        <f>[2]ALC!E179</f>
        <v>45329</v>
      </c>
      <c r="F179" s="23">
        <v>1</v>
      </c>
      <c r="G179" s="23" t="str">
        <f t="shared" si="31"/>
        <v>0%</v>
      </c>
      <c r="H179" s="17">
        <f t="shared" si="32"/>
        <v>0</v>
      </c>
      <c r="I179" s="17">
        <v>4.4686524033902171E-3</v>
      </c>
      <c r="J179" s="17">
        <f t="shared" si="33"/>
        <v>-4.4686524033902171E-3</v>
      </c>
      <c r="K179" s="26" t="str">
        <f>VLOOKUP(A179,'[2]MS Progress'!$A:$Q,6,FALSE)</f>
        <v>0%</v>
      </c>
      <c r="L179" s="18"/>
    </row>
    <row r="180" spans="1:12" ht="14.25" customHeight="1" x14ac:dyDescent="0.25">
      <c r="A180" s="25" t="str">
        <f>'[2]ALC-Master'!A180</f>
        <v>A1090.I.09</v>
      </c>
      <c r="B180" s="25" t="str">
        <f>'[2]ALC-Master'!C180</f>
        <v>Data Communication System</v>
      </c>
      <c r="C180" s="20">
        <f>[2]ALC!G180</f>
        <v>4.4686524033902171E-3</v>
      </c>
      <c r="D180" s="21">
        <f>[2]ALC!D180</f>
        <v>45299</v>
      </c>
      <c r="E180" s="22">
        <f>[2]ALC!E180</f>
        <v>45329</v>
      </c>
      <c r="F180" s="23">
        <v>1</v>
      </c>
      <c r="G180" s="23" t="str">
        <f t="shared" si="31"/>
        <v>0%</v>
      </c>
      <c r="H180" s="17">
        <f t="shared" si="32"/>
        <v>0</v>
      </c>
      <c r="I180" s="17">
        <v>4.4686524033902171E-3</v>
      </c>
      <c r="J180" s="17">
        <f t="shared" si="33"/>
        <v>-4.4686524033902171E-3</v>
      </c>
      <c r="K180" s="26" t="str">
        <f>VLOOKUP(A180,'[2]MS Progress'!$A:$Q,6,FALSE)</f>
        <v>0%</v>
      </c>
      <c r="L180" s="18"/>
    </row>
    <row r="181" spans="1:12" ht="14.25" customHeight="1" x14ac:dyDescent="0.25">
      <c r="A181" s="25" t="str">
        <f>'[2]ALC-Master'!A181</f>
        <v>A1090.I.10</v>
      </c>
      <c r="B181" s="25" t="str">
        <f>'[2]ALC-Master'!C181</f>
        <v>Interfacing Controller (IFC)</v>
      </c>
      <c r="C181" s="20">
        <f>[2]ALC!G181</f>
        <v>2.979101602260145E-3</v>
      </c>
      <c r="D181" s="21">
        <f>[2]ALC!D181</f>
        <v>45299</v>
      </c>
      <c r="E181" s="22">
        <f>[2]ALC!E181</f>
        <v>45318</v>
      </c>
      <c r="F181" s="23">
        <v>1</v>
      </c>
      <c r="G181" s="23" t="str">
        <f t="shared" si="31"/>
        <v>0%</v>
      </c>
      <c r="H181" s="17">
        <f t="shared" si="32"/>
        <v>0</v>
      </c>
      <c r="I181" s="17">
        <v>2.979101602260145E-3</v>
      </c>
      <c r="J181" s="17">
        <f t="shared" si="33"/>
        <v>-2.979101602260145E-3</v>
      </c>
      <c r="K181" s="26" t="str">
        <f>VLOOKUP(A181,'[2]MS Progress'!$A:$Q,6,FALSE)</f>
        <v>0%</v>
      </c>
      <c r="L181" s="18"/>
    </row>
    <row r="182" spans="1:12" ht="14.25" customHeight="1" x14ac:dyDescent="0.25">
      <c r="A182" s="25" t="str">
        <f>'[2]ALC-Master'!A182</f>
        <v>A1090.I.11</v>
      </c>
      <c r="B182" s="25" t="str">
        <f>'[2]ALC-Master'!C182</f>
        <v>Weighbridge Intercom Kiosk</v>
      </c>
      <c r="C182" s="20">
        <f>[2]ALC!G182</f>
        <v>8.2752822285004028E-3</v>
      </c>
      <c r="D182" s="21">
        <f>[2]ALC!D182</f>
        <v>45299</v>
      </c>
      <c r="E182" s="22">
        <f>[2]ALC!E182</f>
        <v>45358</v>
      </c>
      <c r="F182" s="23">
        <v>1</v>
      </c>
      <c r="G182" s="23" t="str">
        <f t="shared" si="31"/>
        <v>0%</v>
      </c>
      <c r="H182" s="17">
        <f t="shared" si="32"/>
        <v>0</v>
      </c>
      <c r="I182" s="17">
        <v>8.2752822285004028E-3</v>
      </c>
      <c r="J182" s="17">
        <f t="shared" si="33"/>
        <v>-8.2752822285004028E-3</v>
      </c>
      <c r="K182" s="26" t="str">
        <f>VLOOKUP(A182,'[2]MS Progress'!$A:$Q,6,FALSE)</f>
        <v>0%</v>
      </c>
      <c r="L182" s="18"/>
    </row>
    <row r="183" spans="1:12" ht="14.25" customHeight="1" x14ac:dyDescent="0.25">
      <c r="A183" s="25" t="str">
        <f>'[2]ALC-Master'!A183</f>
        <v>A1090.I.12</v>
      </c>
      <c r="B183" s="25" t="str">
        <f>'[2]ALC-Master'!C183</f>
        <v>EPS Antenna</v>
      </c>
      <c r="C183" s="20">
        <f>[2]ALC!G183</f>
        <v>4.3031467588202097E-3</v>
      </c>
      <c r="D183" s="21">
        <f>[2]ALC!D183</f>
        <v>45299</v>
      </c>
      <c r="E183" s="22">
        <f>[2]ALC!E183</f>
        <v>45328</v>
      </c>
      <c r="F183" s="23">
        <v>1</v>
      </c>
      <c r="G183" s="23" t="str">
        <f t="shared" si="31"/>
        <v>0%</v>
      </c>
      <c r="H183" s="17">
        <f t="shared" si="32"/>
        <v>0</v>
      </c>
      <c r="I183" s="17">
        <v>4.3031467588202097E-3</v>
      </c>
      <c r="J183" s="17">
        <f t="shared" si="33"/>
        <v>-4.3031467588202097E-3</v>
      </c>
      <c r="K183" s="26" t="str">
        <f>VLOOKUP(A183,'[2]MS Progress'!$A:$Q,6,FALSE)</f>
        <v>0%</v>
      </c>
      <c r="L183" s="18"/>
    </row>
    <row r="184" spans="1:12" ht="14.25" customHeight="1" x14ac:dyDescent="0.25">
      <c r="A184" s="25" t="str">
        <f>'[2]ALC-Master'!A184</f>
        <v>A1090.I.13</v>
      </c>
      <c r="B184" s="25" t="str">
        <f>'[2]ALC-Master'!C184</f>
        <v>Traffic Lights</v>
      </c>
      <c r="C184" s="20">
        <f>[2]ALC!G184</f>
        <v>4.3031467588202097E-3</v>
      </c>
      <c r="D184" s="21">
        <f>[2]ALC!D184</f>
        <v>45299</v>
      </c>
      <c r="E184" s="22">
        <f>[2]ALC!E184</f>
        <v>45328</v>
      </c>
      <c r="F184" s="23">
        <v>1</v>
      </c>
      <c r="G184" s="23" t="str">
        <f t="shared" si="31"/>
        <v>0%</v>
      </c>
      <c r="H184" s="17">
        <f t="shared" si="32"/>
        <v>0</v>
      </c>
      <c r="I184" s="17">
        <v>4.3031467588202097E-3</v>
      </c>
      <c r="J184" s="17">
        <f t="shared" si="33"/>
        <v>-4.3031467588202097E-3</v>
      </c>
      <c r="K184" s="26" t="str">
        <f>VLOOKUP(A184,'[2]MS Progress'!$A:$Q,6,FALSE)</f>
        <v>0%</v>
      </c>
      <c r="L184" s="18"/>
    </row>
    <row r="185" spans="1:12" ht="14.25" customHeight="1" x14ac:dyDescent="0.25">
      <c r="A185" s="25" t="str">
        <f>'[2]ALC-Master'!A185</f>
        <v>A1090.I.14</v>
      </c>
      <c r="B185" s="25" t="str">
        <f>'[2]ALC-Master'!C185</f>
        <v>Barriers</v>
      </c>
      <c r="C185" s="20">
        <f>[2]ALC!G185</f>
        <v>4.3031467588202097E-3</v>
      </c>
      <c r="D185" s="21">
        <f>[2]ALC!D185</f>
        <v>45299</v>
      </c>
      <c r="E185" s="22">
        <f>[2]ALC!E185</f>
        <v>45328</v>
      </c>
      <c r="F185" s="23">
        <v>1</v>
      </c>
      <c r="G185" s="23" t="str">
        <f t="shared" si="31"/>
        <v>0%</v>
      </c>
      <c r="H185" s="17">
        <f t="shared" si="32"/>
        <v>0</v>
      </c>
      <c r="I185" s="17">
        <v>4.3031467588202097E-3</v>
      </c>
      <c r="J185" s="17">
        <f t="shared" si="33"/>
        <v>-4.3031467588202097E-3</v>
      </c>
      <c r="K185" s="26" t="str">
        <f>VLOOKUP(A185,'[2]MS Progress'!$A:$Q,6,FALSE)</f>
        <v>0%</v>
      </c>
      <c r="L185" s="18"/>
    </row>
    <row r="186" spans="1:12" ht="14.25" customHeight="1" x14ac:dyDescent="0.25">
      <c r="A186" s="25" t="str">
        <f>'[2]ALC-Master'!A186</f>
        <v>A1090.I.15</v>
      </c>
      <c r="B186" s="25" t="str">
        <f>'[2]ALC-Master'!C186</f>
        <v>License Plate Recognition System (LPR)</v>
      </c>
      <c r="C186" s="20">
        <f>[2]ALC!G186</f>
        <v>4.3031467588202097E-3</v>
      </c>
      <c r="D186" s="21">
        <f>[2]ALC!D186</f>
        <v>45299</v>
      </c>
      <c r="E186" s="22">
        <f>[2]ALC!E186</f>
        <v>45328</v>
      </c>
      <c r="F186" s="23">
        <v>1</v>
      </c>
      <c r="G186" s="23" t="str">
        <f t="shared" si="31"/>
        <v>0%</v>
      </c>
      <c r="H186" s="17">
        <f t="shared" si="32"/>
        <v>0</v>
      </c>
      <c r="I186" s="17">
        <v>4.3031467588202097E-3</v>
      </c>
      <c r="J186" s="17">
        <f t="shared" si="33"/>
        <v>-4.3031467588202097E-3</v>
      </c>
      <c r="K186" s="26" t="str">
        <f>VLOOKUP(A186,'[2]MS Progress'!$A:$Q,6,FALSE)</f>
        <v>0%</v>
      </c>
      <c r="L186" s="18"/>
    </row>
    <row r="187" spans="1:12" ht="14.25" customHeight="1" x14ac:dyDescent="0.25">
      <c r="A187" s="25" t="str">
        <f>'[2]ALC-Master'!A187</f>
        <v>A1090.I.16</v>
      </c>
      <c r="B187" s="25" t="str">
        <f>'[2]ALC-Master'!C187</f>
        <v>Video Recording System (VRS)</v>
      </c>
      <c r="C187" s="20">
        <f>[2]ALC!G187</f>
        <v>4.3031467588202097E-3</v>
      </c>
      <c r="D187" s="21">
        <f>[2]ALC!D187</f>
        <v>45299</v>
      </c>
      <c r="E187" s="22">
        <f>[2]ALC!E187</f>
        <v>45328</v>
      </c>
      <c r="F187" s="23">
        <v>1</v>
      </c>
      <c r="G187" s="23" t="str">
        <f t="shared" si="31"/>
        <v>0%</v>
      </c>
      <c r="H187" s="17">
        <f t="shared" si="32"/>
        <v>0</v>
      </c>
      <c r="I187" s="17">
        <v>4.3031467588202097E-3</v>
      </c>
      <c r="J187" s="17">
        <f t="shared" si="33"/>
        <v>-4.3031467588202097E-3</v>
      </c>
      <c r="K187" s="26" t="str">
        <f>VLOOKUP(A187,'[2]MS Progress'!$A:$Q,6,FALSE)</f>
        <v>0%</v>
      </c>
      <c r="L187" s="18"/>
    </row>
    <row r="188" spans="1:12" ht="14.25" customHeight="1" x14ac:dyDescent="0.25">
      <c r="A188" s="25" t="str">
        <f>'[2]ALC-Master'!A188</f>
        <v>A1090.I.17</v>
      </c>
      <c r="B188" s="25" t="str">
        <f>'[2]ALC-Master'!C188</f>
        <v>Radioactive Devices</v>
      </c>
      <c r="C188" s="20">
        <f>[2]ALC!G188</f>
        <v>3.9721354696801931E-3</v>
      </c>
      <c r="D188" s="21">
        <f>[2]ALC!D188</f>
        <v>45299</v>
      </c>
      <c r="E188" s="22">
        <f>[2]ALC!E188</f>
        <v>45325</v>
      </c>
      <c r="F188" s="23">
        <v>1</v>
      </c>
      <c r="G188" s="23" t="str">
        <f t="shared" si="31"/>
        <v>0%</v>
      </c>
      <c r="H188" s="17">
        <f t="shared" si="32"/>
        <v>0</v>
      </c>
      <c r="I188" s="17">
        <v>3.9721354696801931E-3</v>
      </c>
      <c r="J188" s="17">
        <f t="shared" si="33"/>
        <v>-3.9721354696801931E-3</v>
      </c>
      <c r="K188" s="26" t="str">
        <f>VLOOKUP(A188,'[2]MS Progress'!$A:$Q,6,FALSE)</f>
        <v>0%</v>
      </c>
      <c r="L188" s="18"/>
    </row>
    <row r="189" spans="1:12" ht="14.25" customHeight="1" x14ac:dyDescent="0.25">
      <c r="A189" s="25" t="str">
        <f>'[2]ALC-Master'!A189</f>
        <v>A1090.I.18</v>
      </c>
      <c r="B189" s="25" t="str">
        <f>'[2]ALC-Master'!C189</f>
        <v>Load Heat Detection Devices</v>
      </c>
      <c r="C189" s="20">
        <f>[2]ALC!G189</f>
        <v>3.9721354696801931E-3</v>
      </c>
      <c r="D189" s="21">
        <f>[2]ALC!D189</f>
        <v>45299</v>
      </c>
      <c r="E189" s="22">
        <f>[2]ALC!E189</f>
        <v>45325</v>
      </c>
      <c r="F189" s="23">
        <v>1</v>
      </c>
      <c r="G189" s="23" t="str">
        <f t="shared" si="31"/>
        <v>0%</v>
      </c>
      <c r="H189" s="17">
        <f t="shared" si="32"/>
        <v>0</v>
      </c>
      <c r="I189" s="17">
        <v>3.9721354696801931E-3</v>
      </c>
      <c r="J189" s="17">
        <f t="shared" si="33"/>
        <v>-3.9721354696801931E-3</v>
      </c>
      <c r="K189" s="26" t="str">
        <f>VLOOKUP(A189,'[2]MS Progress'!$A:$Q,6,FALSE)</f>
        <v>0%</v>
      </c>
      <c r="L189" s="18"/>
    </row>
    <row r="190" spans="1:12" ht="14.25" customHeight="1" x14ac:dyDescent="0.25">
      <c r="A190" s="25" t="str">
        <f>'[2]ALC-Master'!A190</f>
        <v>A1090.I.19</v>
      </c>
      <c r="B190" s="25" t="str">
        <f>'[2]ALC-Master'!C190</f>
        <v>Single weighbridge physical mock-up</v>
      </c>
      <c r="C190" s="20">
        <f>[2]ALC!G190</f>
        <v>6.1237088490902983E-3</v>
      </c>
      <c r="D190" s="21">
        <f>[2]ALC!D190</f>
        <v>45299</v>
      </c>
      <c r="E190" s="22">
        <f>[2]ALC!E190</f>
        <v>45343</v>
      </c>
      <c r="F190" s="23">
        <v>1</v>
      </c>
      <c r="G190" s="23" t="str">
        <f t="shared" si="31"/>
        <v>0%</v>
      </c>
      <c r="H190" s="17">
        <f t="shared" si="32"/>
        <v>0</v>
      </c>
      <c r="I190" s="17">
        <v>6.1237088490902983E-3</v>
      </c>
      <c r="J190" s="17">
        <f t="shared" si="33"/>
        <v>-6.1237088490902983E-3</v>
      </c>
      <c r="K190" s="26" t="str">
        <f>VLOOKUP(A190,'[2]MS Progress'!$A:$Q,6,FALSE)</f>
        <v>0%</v>
      </c>
      <c r="L190" s="18"/>
    </row>
    <row r="191" spans="1:12" ht="14.25" customHeight="1" x14ac:dyDescent="0.25">
      <c r="A191" s="25" t="str">
        <f>'[2]ALC-Master'!A191</f>
        <v>A1090.I.20</v>
      </c>
      <c r="B191" s="25" t="str">
        <f>'[2]ALC-Master'!C191</f>
        <v>Zonal Detection System</v>
      </c>
      <c r="C191" s="20">
        <f>[2]ALC!G191</f>
        <v>6.2892144936603058E-3</v>
      </c>
      <c r="D191" s="21">
        <f>[2]ALC!D191</f>
        <v>45299</v>
      </c>
      <c r="E191" s="22">
        <f>[2]ALC!E191</f>
        <v>45344</v>
      </c>
      <c r="F191" s="23">
        <v>1</v>
      </c>
      <c r="G191" s="23" t="str">
        <f t="shared" si="31"/>
        <v>0%</v>
      </c>
      <c r="H191" s="17">
        <f t="shared" si="32"/>
        <v>0</v>
      </c>
      <c r="I191" s="17">
        <v>6.2892144936603058E-3</v>
      </c>
      <c r="J191" s="17">
        <f t="shared" si="33"/>
        <v>-6.2892144936603058E-3</v>
      </c>
      <c r="K191" s="26" t="str">
        <f>VLOOKUP(A191,'[2]MS Progress'!$A:$Q,6,FALSE)</f>
        <v>0%</v>
      </c>
      <c r="L191" s="18"/>
    </row>
    <row r="192" spans="1:12" ht="14.25" customHeight="1" x14ac:dyDescent="0.25">
      <c r="A192" s="25" t="str">
        <f>'[2]ALC-Master'!A192</f>
        <v>A1090.I.21</v>
      </c>
      <c r="B192" s="25" t="str">
        <f>'[2]ALC-Master'!C192</f>
        <v>Ash Truck Positioning and Empty/Full Detection Devices</v>
      </c>
      <c r="C192" s="20">
        <f>[2]ALC!G192</f>
        <v>8.2752822285004028E-3</v>
      </c>
      <c r="D192" s="21">
        <f>[2]ALC!D192</f>
        <v>45299</v>
      </c>
      <c r="E192" s="22">
        <f>[2]ALC!E192</f>
        <v>45358</v>
      </c>
      <c r="F192" s="23">
        <v>1</v>
      </c>
      <c r="G192" s="23" t="str">
        <f t="shared" si="31"/>
        <v>0%</v>
      </c>
      <c r="H192" s="17">
        <f t="shared" si="32"/>
        <v>0</v>
      </c>
      <c r="I192" s="17">
        <v>8.2752822285004028E-3</v>
      </c>
      <c r="J192" s="17">
        <f t="shared" si="33"/>
        <v>-8.2752822285004028E-3</v>
      </c>
      <c r="K192" s="26" t="str">
        <f>VLOOKUP(A192,'[2]MS Progress'!$A:$Q,6,FALSE)</f>
        <v>0%</v>
      </c>
      <c r="L192" s="18"/>
    </row>
    <row r="193" spans="1:12" ht="14.25" customHeight="1" x14ac:dyDescent="0.25">
      <c r="A193" s="25">
        <f>'[2]ALC-Master'!A193</f>
        <v>0</v>
      </c>
      <c r="B193" s="25" t="str">
        <f>'[2]ALC-Master'!C193</f>
        <v>Testing &amp; Commissioning</v>
      </c>
      <c r="C193" s="20"/>
      <c r="D193" s="21"/>
      <c r="E193" s="22"/>
      <c r="F193" s="23"/>
      <c r="G193" s="23"/>
      <c r="H193" s="17"/>
      <c r="I193" s="17"/>
      <c r="J193" s="17"/>
      <c r="K193" s="18"/>
      <c r="L193" s="18"/>
    </row>
    <row r="194" spans="1:12" ht="14.25" customHeight="1" x14ac:dyDescent="0.25">
      <c r="A194" s="25" t="str">
        <f>'[2]ALC-Master'!A194</f>
        <v>A1100</v>
      </c>
      <c r="B194" s="25" t="str">
        <f>'[2]ALC-Master'!C194</f>
        <v>ERP/ DCS Interface Readiness</v>
      </c>
      <c r="C194" s="20">
        <f>[2]ALC!G194</f>
        <v>1.6550564457000805E-4</v>
      </c>
      <c r="D194" s="21">
        <f>[2]ALC!D194</f>
        <v>45442</v>
      </c>
      <c r="E194" s="22">
        <f>[2]ALC!E194</f>
        <v>45442</v>
      </c>
      <c r="F194" s="23">
        <v>1</v>
      </c>
      <c r="G194" s="23" t="str">
        <f>K194</f>
        <v>0%</v>
      </c>
      <c r="H194" s="17">
        <f>(G194/F194)*C194</f>
        <v>0</v>
      </c>
      <c r="I194" s="17">
        <v>1.6550564457000805E-4</v>
      </c>
      <c r="J194" s="17">
        <f>H194-I194</f>
        <v>-1.6550564457000805E-4</v>
      </c>
      <c r="K194" s="26" t="str">
        <f>VLOOKUP(A194,'[2]MS Progress'!$A:$Q,6,FALSE)</f>
        <v>0%</v>
      </c>
      <c r="L194" s="18"/>
    </row>
    <row r="195" spans="1:12" ht="14.25" customHeight="1" x14ac:dyDescent="0.25">
      <c r="A195" s="25" t="str">
        <f>'[2]ALC-Master'!A195</f>
        <v>A1110</v>
      </c>
      <c r="B195" s="25" t="str">
        <f>'[2]ALC-Master'!C195</f>
        <v>Site Acceptance Test</v>
      </c>
      <c r="C195" s="20"/>
      <c r="D195" s="21"/>
      <c r="E195" s="22"/>
      <c r="F195" s="23"/>
      <c r="G195" s="23"/>
      <c r="H195" s="17"/>
      <c r="I195" s="17"/>
      <c r="J195" s="17"/>
      <c r="K195" s="18"/>
      <c r="L195" s="18"/>
    </row>
    <row r="196" spans="1:12" ht="14.25" customHeight="1" x14ac:dyDescent="0.25">
      <c r="A196" s="25" t="str">
        <f>'[2]ALC-Master'!A196</f>
        <v>A1110.S.01</v>
      </c>
      <c r="B196" s="25" t="str">
        <f>'[2]ALC-Master'!C196</f>
        <v>Client Inspection of Weighbridge Sub-system</v>
      </c>
      <c r="C196" s="20">
        <f>[2]ALC!G196</f>
        <v>4.1376411142502014E-3</v>
      </c>
      <c r="D196" s="21">
        <f>[2]ALC!D196</f>
        <v>45443</v>
      </c>
      <c r="E196" s="22">
        <f>[2]ALC!E196</f>
        <v>45472</v>
      </c>
      <c r="F196" s="23">
        <v>1</v>
      </c>
      <c r="G196" s="23" t="str">
        <f t="shared" ref="G196:G199" si="34">K196</f>
        <v>0%</v>
      </c>
      <c r="H196" s="17">
        <f t="shared" ref="H196:H199" si="35">(G196/F196)*C196</f>
        <v>0</v>
      </c>
      <c r="I196" s="17">
        <v>4.1376411142502014E-3</v>
      </c>
      <c r="J196" s="17">
        <f t="shared" ref="J196:J199" si="36">H196-I196</f>
        <v>-4.1376411142502014E-3</v>
      </c>
      <c r="K196" s="26" t="str">
        <f>VLOOKUP(A196,'[2]MS Progress'!$A:$Q,6,FALSE)</f>
        <v>0%</v>
      </c>
      <c r="L196" s="18"/>
    </row>
    <row r="197" spans="1:12" ht="14.25" customHeight="1" x14ac:dyDescent="0.25">
      <c r="A197" s="25" t="str">
        <f>'[2]ALC-Master'!A197</f>
        <v>A1110.S.02</v>
      </c>
      <c r="B197" s="25" t="str">
        <f>'[2]ALC-Master'!C197</f>
        <v>Client Inspection of Zonal Detection Sub-system</v>
      </c>
      <c r="C197" s="20">
        <f>[2]ALC!G197</f>
        <v>4.4686524033902171E-3</v>
      </c>
      <c r="D197" s="21">
        <f>[2]ALC!D197</f>
        <v>45474</v>
      </c>
      <c r="E197" s="22">
        <f>[2]ALC!E197</f>
        <v>45504</v>
      </c>
      <c r="F197" s="23">
        <v>1</v>
      </c>
      <c r="G197" s="23" t="str">
        <f t="shared" si="34"/>
        <v>0%</v>
      </c>
      <c r="H197" s="17">
        <f t="shared" si="35"/>
        <v>0</v>
      </c>
      <c r="I197" s="17">
        <v>4.4686524033902171E-3</v>
      </c>
      <c r="J197" s="17">
        <f t="shared" si="36"/>
        <v>-4.4686524033902171E-3</v>
      </c>
      <c r="K197" s="26" t="str">
        <f>VLOOKUP(A197,'[2]MS Progress'!$A:$Q,6,FALSE)</f>
        <v>0%</v>
      </c>
      <c r="L197" s="18"/>
    </row>
    <row r="198" spans="1:12" ht="14.25" customHeight="1" x14ac:dyDescent="0.25">
      <c r="A198" s="25" t="str">
        <f>'[2]ALC-Master'!A198</f>
        <v>A1110.S.03</v>
      </c>
      <c r="B198" s="25" t="str">
        <f>'[2]ALC-Master'!C198</f>
        <v>Punchlist Clearance</v>
      </c>
      <c r="C198" s="20">
        <f>[2]ALC!G198</f>
        <v>3.3101128914001612E-3</v>
      </c>
      <c r="D198" s="21">
        <f>[2]ALC!D198</f>
        <v>45505</v>
      </c>
      <c r="E198" s="22">
        <f>[2]ALC!E198</f>
        <v>45527</v>
      </c>
      <c r="F198" s="23">
        <v>1</v>
      </c>
      <c r="G198" s="23" t="str">
        <f t="shared" si="34"/>
        <v>0%</v>
      </c>
      <c r="H198" s="17">
        <f t="shared" si="35"/>
        <v>0</v>
      </c>
      <c r="I198" s="17">
        <v>3.3101128914001612E-3</v>
      </c>
      <c r="J198" s="17">
        <f t="shared" si="36"/>
        <v>-3.3101128914001612E-3</v>
      </c>
      <c r="K198" s="26" t="str">
        <f>VLOOKUP(A198,'[2]MS Progress'!$A:$Q,6,FALSE)</f>
        <v>0%</v>
      </c>
      <c r="L198" s="18"/>
    </row>
    <row r="199" spans="1:12" ht="14.25" customHeight="1" x14ac:dyDescent="0.25">
      <c r="A199" s="25" t="str">
        <f>'[2]ALC-Master'!A199</f>
        <v>A1110.S.04</v>
      </c>
      <c r="B199" s="25" t="str">
        <f>'[2]ALC-Master'!C199</f>
        <v>User Training</v>
      </c>
      <c r="C199" s="20">
        <f>[2]ALC!G199</f>
        <v>2.979101602260145E-3</v>
      </c>
      <c r="D199" s="21">
        <f>[2]ALC!D199</f>
        <v>45528</v>
      </c>
      <c r="E199" s="22">
        <f>[2]ALC!E199</f>
        <v>45548</v>
      </c>
      <c r="F199" s="23">
        <v>1</v>
      </c>
      <c r="G199" s="23" t="str">
        <f t="shared" si="34"/>
        <v>0%</v>
      </c>
      <c r="H199" s="17">
        <f t="shared" si="35"/>
        <v>0</v>
      </c>
      <c r="I199" s="17">
        <v>2.979101602260145E-3</v>
      </c>
      <c r="J199" s="17">
        <f t="shared" si="36"/>
        <v>-2.979101602260145E-3</v>
      </c>
      <c r="K199" s="26" t="str">
        <f>VLOOKUP(A199,'[2]MS Progress'!$A:$Q,6,FALSE)</f>
        <v>0%</v>
      </c>
      <c r="L199" s="18"/>
    </row>
    <row r="200" spans="1:12" ht="14.25" customHeight="1" x14ac:dyDescent="0.25">
      <c r="A200" s="25" t="str">
        <f>'[2]ALC-Master'!A200</f>
        <v>A1120</v>
      </c>
      <c r="B200" s="25" t="str">
        <f>'[2]ALC-Master'!C200</f>
        <v>System Commissioning Test</v>
      </c>
      <c r="C200" s="20"/>
      <c r="D200" s="21"/>
      <c r="E200" s="22"/>
      <c r="F200" s="23"/>
      <c r="G200" s="23"/>
      <c r="H200" s="17"/>
      <c r="I200" s="17"/>
      <c r="J200" s="17"/>
      <c r="K200" s="18"/>
      <c r="L200" s="18"/>
    </row>
    <row r="201" spans="1:12" ht="14.25" customHeight="1" x14ac:dyDescent="0.25">
      <c r="A201" s="25" t="str">
        <f>'[2]ALC-Master'!A201</f>
        <v>A1120.S.01</v>
      </c>
      <c r="B201" s="25" t="str">
        <f>'[2]ALC-Master'!C201</f>
        <v>Weighbridge (Line 1&amp;2) System Conduct System Commissioning Test - Hardware</v>
      </c>
      <c r="C201" s="20">
        <f>[2]ALC!G201</f>
        <v>1.3240451565600645E-2</v>
      </c>
      <c r="D201" s="21">
        <f>[2]ALC!D201</f>
        <v>45549</v>
      </c>
      <c r="E201" s="22">
        <f>[2]ALC!E201</f>
        <v>45642</v>
      </c>
      <c r="F201" s="23">
        <v>1</v>
      </c>
      <c r="G201" s="23" t="str">
        <f t="shared" ref="G201:G206" si="37">K201</f>
        <v>0%</v>
      </c>
      <c r="H201" s="17">
        <f t="shared" ref="H201:H206" si="38">(G201/F201)*C201</f>
        <v>0</v>
      </c>
      <c r="I201" s="17">
        <v>1.3240451565600645E-2</v>
      </c>
      <c r="J201" s="17">
        <f t="shared" ref="J201:J206" si="39">H201-I201</f>
        <v>-1.3240451565600645E-2</v>
      </c>
      <c r="K201" s="26" t="str">
        <f>VLOOKUP(A201,'[2]MS Progress'!$A:$Q,6,FALSE)</f>
        <v>0%</v>
      </c>
      <c r="L201" s="18"/>
    </row>
    <row r="202" spans="1:12" ht="14.25" customHeight="1" x14ac:dyDescent="0.25">
      <c r="A202" s="25" t="str">
        <f>'[2]ALC-Master'!A202</f>
        <v>A1120.S.02</v>
      </c>
      <c r="B202" s="25" t="str">
        <f>'[2]ALC-Master'!C202</f>
        <v>Weighbridge (Line 1&amp;2) System Conduct System Commissioning Test - Software</v>
      </c>
      <c r="C202" s="20">
        <f>[2]ALC!G202</f>
        <v>1.3240451565600645E-2</v>
      </c>
      <c r="D202" s="21">
        <f>[2]ALC!D202</f>
        <v>45549</v>
      </c>
      <c r="E202" s="22">
        <f>[2]ALC!E202</f>
        <v>45642</v>
      </c>
      <c r="F202" s="23">
        <v>1</v>
      </c>
      <c r="G202" s="23" t="str">
        <f t="shared" si="37"/>
        <v>0%</v>
      </c>
      <c r="H202" s="17">
        <f t="shared" si="38"/>
        <v>0</v>
      </c>
      <c r="I202" s="17">
        <v>1.3240451565600645E-2</v>
      </c>
      <c r="J202" s="17">
        <f t="shared" si="39"/>
        <v>-1.3240451565600645E-2</v>
      </c>
      <c r="K202" s="26" t="str">
        <f>VLOOKUP(A202,'[2]MS Progress'!$A:$Q,6,FALSE)</f>
        <v>0%</v>
      </c>
      <c r="L202" s="18"/>
    </row>
    <row r="203" spans="1:12" ht="14.25" customHeight="1" x14ac:dyDescent="0.25">
      <c r="A203" s="25" t="str">
        <f>'[2]ALC-Master'!A203</f>
        <v>A1120.S.03</v>
      </c>
      <c r="B203" s="25" t="str">
        <f>'[2]ALC-Master'!C203</f>
        <v>Weighbridge Zonal System Conduct System Commissioning Test</v>
      </c>
      <c r="C203" s="20">
        <f>[2]ALC!G203</f>
        <v>1.3240451565600645E-2</v>
      </c>
      <c r="D203" s="21">
        <f>[2]ALC!D203</f>
        <v>45549</v>
      </c>
      <c r="E203" s="22">
        <f>[2]ALC!E203</f>
        <v>45642</v>
      </c>
      <c r="F203" s="23">
        <v>1</v>
      </c>
      <c r="G203" s="23" t="str">
        <f t="shared" si="37"/>
        <v>0%</v>
      </c>
      <c r="H203" s="17">
        <f t="shared" si="38"/>
        <v>0</v>
      </c>
      <c r="I203" s="17">
        <v>1.3240451565600645E-2</v>
      </c>
      <c r="J203" s="17">
        <f t="shared" si="39"/>
        <v>-1.3240451565600645E-2</v>
      </c>
      <c r="K203" s="26" t="str">
        <f>VLOOKUP(A203,'[2]MS Progress'!$A:$Q,6,FALSE)</f>
        <v>0%</v>
      </c>
      <c r="L203" s="18"/>
    </row>
    <row r="204" spans="1:12" ht="14.25" customHeight="1" x14ac:dyDescent="0.25">
      <c r="A204" s="25" t="str">
        <f>'[2]ALC-Master'!A204</f>
        <v>A1120.S.04</v>
      </c>
      <c r="B204" s="25" t="str">
        <f>'[2]ALC-Master'!C204</f>
        <v>Weighbridge (Line 3&amp;4) System Commissioning Test</v>
      </c>
      <c r="C204" s="20">
        <f>[2]ALC!G204</f>
        <v>1.3240451565600645E-2</v>
      </c>
      <c r="D204" s="21">
        <f>[2]ALC!D204</f>
        <v>45643</v>
      </c>
      <c r="E204" s="22">
        <f>[2]ALC!E204</f>
        <v>45735</v>
      </c>
      <c r="F204" s="23">
        <v>1</v>
      </c>
      <c r="G204" s="23" t="str">
        <f t="shared" si="37"/>
        <v>0%</v>
      </c>
      <c r="H204" s="17">
        <f t="shared" si="38"/>
        <v>0</v>
      </c>
      <c r="I204" s="17">
        <v>1.0506010481400511E-2</v>
      </c>
      <c r="J204" s="17">
        <f t="shared" si="39"/>
        <v>-1.0506010481400511E-2</v>
      </c>
      <c r="K204" s="26" t="str">
        <f>VLOOKUP(A204,'[2]MS Progress'!$A:$Q,6,FALSE)</f>
        <v>0%</v>
      </c>
      <c r="L204" s="18"/>
    </row>
    <row r="205" spans="1:12" ht="14.25" customHeight="1" x14ac:dyDescent="0.25">
      <c r="A205" s="25" t="str">
        <f>'[2]ALC-Master'!A205</f>
        <v>A1130</v>
      </c>
      <c r="B205" s="25" t="str">
        <f>'[2]ALC-Master'!C205</f>
        <v>Successful Completion of Trial Operation Test</v>
      </c>
      <c r="C205" s="20">
        <f>[2]ALC!G205</f>
        <v>1.5723036234150764E-2</v>
      </c>
      <c r="D205" s="21">
        <f>[2]ALC!D205</f>
        <v>45737</v>
      </c>
      <c r="E205" s="22">
        <f>[2]ALC!E205</f>
        <v>45847</v>
      </c>
      <c r="F205" s="23">
        <v>1</v>
      </c>
      <c r="G205" s="23" t="str">
        <f t="shared" si="37"/>
        <v>0%</v>
      </c>
      <c r="H205" s="17">
        <f t="shared" si="38"/>
        <v>0</v>
      </c>
      <c r="I205" s="17">
        <v>0</v>
      </c>
      <c r="J205" s="17">
        <f t="shared" si="39"/>
        <v>0</v>
      </c>
      <c r="K205" s="26" t="str">
        <f>VLOOKUP(A205,'[2]MS Progress'!$A:$Q,6,FALSE)</f>
        <v>0%</v>
      </c>
      <c r="L205" s="18"/>
    </row>
    <row r="206" spans="1:12" ht="14.25" customHeight="1" x14ac:dyDescent="0.25">
      <c r="A206" s="25" t="str">
        <f>'[2]ALC-Master'!A206</f>
        <v>A1150</v>
      </c>
      <c r="B206" s="25" t="str">
        <f>'[2]ALC-Master'!C206</f>
        <v>Completion of the whole Sub-Contract Works</v>
      </c>
      <c r="C206" s="20">
        <f>[2]ALC!G206</f>
        <v>8.9373048067804342E-3</v>
      </c>
      <c r="D206" s="21">
        <f>[2]ALC!D206</f>
        <v>45848</v>
      </c>
      <c r="E206" s="22">
        <f>[2]ALC!E206</f>
        <v>45937</v>
      </c>
      <c r="F206" s="23">
        <v>1</v>
      </c>
      <c r="G206" s="23" t="str">
        <f t="shared" si="37"/>
        <v>0%</v>
      </c>
      <c r="H206" s="17">
        <f t="shared" si="38"/>
        <v>0</v>
      </c>
      <c r="I206" s="17">
        <v>0</v>
      </c>
      <c r="J206" s="17">
        <f t="shared" si="39"/>
        <v>0</v>
      </c>
      <c r="K206" s="26" t="str">
        <f>VLOOKUP(A206,'[2]MS Progress'!$A:$Q,6,FALSE)</f>
        <v>0%</v>
      </c>
      <c r="L206" s="18"/>
    </row>
    <row r="207" spans="1:12" ht="14.25" customHeight="1" x14ac:dyDescent="0.25">
      <c r="H207" s="33"/>
      <c r="I207" s="33"/>
    </row>
    <row r="208" spans="1:12" ht="14.25" customHeight="1" x14ac:dyDescent="0.25">
      <c r="H208" s="33"/>
      <c r="I208" s="33"/>
    </row>
    <row r="209" spans="8:9" ht="14.25" customHeight="1" x14ac:dyDescent="0.25">
      <c r="H209" s="33"/>
      <c r="I209" s="33"/>
    </row>
    <row r="210" spans="8:9" ht="14.25" customHeight="1" x14ac:dyDescent="0.25">
      <c r="H210" s="33"/>
      <c r="I210" s="33"/>
    </row>
    <row r="211" spans="8:9" ht="14.25" customHeight="1" x14ac:dyDescent="0.25">
      <c r="H211" s="33"/>
      <c r="I211" s="33"/>
    </row>
    <row r="212" spans="8:9" ht="14.25" customHeight="1" x14ac:dyDescent="0.25">
      <c r="H212" s="33"/>
      <c r="I212" s="33"/>
    </row>
    <row r="213" spans="8:9" ht="14.25" customHeight="1" x14ac:dyDescent="0.25">
      <c r="H213" s="33"/>
      <c r="I213" s="33"/>
    </row>
    <row r="214" spans="8:9" ht="14.25" customHeight="1" x14ac:dyDescent="0.25">
      <c r="H214" s="33"/>
      <c r="I214" s="33"/>
    </row>
    <row r="215" spans="8:9" ht="14.25" customHeight="1" x14ac:dyDescent="0.25">
      <c r="H215" s="33"/>
      <c r="I215" s="33"/>
    </row>
    <row r="216" spans="8:9" ht="14.25" customHeight="1" x14ac:dyDescent="0.25">
      <c r="H216" s="33"/>
      <c r="I216" s="33"/>
    </row>
    <row r="217" spans="8:9" ht="14.25" customHeight="1" x14ac:dyDescent="0.25">
      <c r="H217" s="33"/>
      <c r="I217" s="33"/>
    </row>
    <row r="218" spans="8:9" ht="14.25" customHeight="1" x14ac:dyDescent="0.25">
      <c r="H218" s="33"/>
      <c r="I218" s="33"/>
    </row>
    <row r="219" spans="8:9" ht="14.25" customHeight="1" x14ac:dyDescent="0.25">
      <c r="H219" s="33"/>
      <c r="I219" s="33"/>
    </row>
    <row r="220" spans="8:9" ht="14.25" customHeight="1" x14ac:dyDescent="0.25">
      <c r="H220" s="33"/>
      <c r="I220" s="33"/>
    </row>
    <row r="221" spans="8:9" ht="14.25" customHeight="1" x14ac:dyDescent="0.25">
      <c r="H221" s="33"/>
      <c r="I221" s="33"/>
    </row>
    <row r="222" spans="8:9" ht="14.25" customHeight="1" x14ac:dyDescent="0.25">
      <c r="H222" s="33"/>
      <c r="I222" s="33"/>
    </row>
    <row r="223" spans="8:9" ht="14.25" customHeight="1" x14ac:dyDescent="0.25">
      <c r="H223" s="33"/>
      <c r="I223" s="33"/>
    </row>
    <row r="224" spans="8:9" ht="14.25" customHeight="1" x14ac:dyDescent="0.25">
      <c r="H224" s="33"/>
      <c r="I224" s="33"/>
    </row>
    <row r="225" spans="8:9" ht="14.25" customHeight="1" x14ac:dyDescent="0.25">
      <c r="H225" s="33"/>
      <c r="I225" s="33"/>
    </row>
    <row r="226" spans="8:9" ht="14.25" customHeight="1" x14ac:dyDescent="0.25">
      <c r="H226" s="33"/>
      <c r="I226" s="33"/>
    </row>
    <row r="227" spans="8:9" ht="14.25" customHeight="1" x14ac:dyDescent="0.25">
      <c r="H227" s="33"/>
      <c r="I227" s="33"/>
    </row>
    <row r="228" spans="8:9" ht="14.25" customHeight="1" x14ac:dyDescent="0.25">
      <c r="H228" s="33"/>
      <c r="I228" s="33"/>
    </row>
    <row r="229" spans="8:9" ht="14.25" customHeight="1" x14ac:dyDescent="0.25">
      <c r="H229" s="33"/>
      <c r="I229" s="33"/>
    </row>
    <row r="230" spans="8:9" ht="14.25" customHeight="1" x14ac:dyDescent="0.25">
      <c r="H230" s="33"/>
      <c r="I230" s="33"/>
    </row>
    <row r="231" spans="8:9" ht="14.25" customHeight="1" x14ac:dyDescent="0.25">
      <c r="H231" s="33"/>
      <c r="I231" s="33"/>
    </row>
    <row r="232" spans="8:9" ht="14.25" customHeight="1" x14ac:dyDescent="0.25">
      <c r="H232" s="33"/>
      <c r="I232" s="33"/>
    </row>
    <row r="233" spans="8:9" ht="14.25" customHeight="1" x14ac:dyDescent="0.25">
      <c r="H233" s="33"/>
      <c r="I233" s="33"/>
    </row>
    <row r="234" spans="8:9" ht="14.25" customHeight="1" x14ac:dyDescent="0.25">
      <c r="H234" s="33"/>
      <c r="I234" s="33"/>
    </row>
    <row r="235" spans="8:9" ht="14.25" customHeight="1" x14ac:dyDescent="0.25">
      <c r="H235" s="33"/>
      <c r="I235" s="33"/>
    </row>
    <row r="236" spans="8:9" ht="14.25" customHeight="1" x14ac:dyDescent="0.25">
      <c r="H236" s="33"/>
      <c r="I236" s="33"/>
    </row>
    <row r="237" spans="8:9" ht="14.25" customHeight="1" x14ac:dyDescent="0.25">
      <c r="H237" s="33"/>
      <c r="I237" s="33"/>
    </row>
    <row r="238" spans="8:9" ht="14.25" customHeight="1" x14ac:dyDescent="0.25">
      <c r="H238" s="33"/>
      <c r="I238" s="33"/>
    </row>
    <row r="239" spans="8:9" ht="14.25" customHeight="1" x14ac:dyDescent="0.25">
      <c r="H239" s="33"/>
      <c r="I239" s="33"/>
    </row>
    <row r="240" spans="8:9" ht="14.25" customHeight="1" x14ac:dyDescent="0.25">
      <c r="H240" s="33"/>
      <c r="I240" s="33"/>
    </row>
    <row r="241" spans="8:9" ht="14.25" customHeight="1" x14ac:dyDescent="0.25">
      <c r="H241" s="33"/>
      <c r="I241" s="33"/>
    </row>
    <row r="242" spans="8:9" ht="14.25" customHeight="1" x14ac:dyDescent="0.25">
      <c r="H242" s="33"/>
      <c r="I242" s="33"/>
    </row>
    <row r="243" spans="8:9" ht="14.25" customHeight="1" x14ac:dyDescent="0.25">
      <c r="H243" s="33"/>
      <c r="I243" s="33"/>
    </row>
    <row r="244" spans="8:9" ht="14.25" customHeight="1" x14ac:dyDescent="0.25">
      <c r="H244" s="33"/>
      <c r="I244" s="33"/>
    </row>
    <row r="245" spans="8:9" ht="14.25" customHeight="1" x14ac:dyDescent="0.25">
      <c r="H245" s="33"/>
      <c r="I245" s="33"/>
    </row>
    <row r="246" spans="8:9" ht="14.25" customHeight="1" x14ac:dyDescent="0.25">
      <c r="H246" s="33"/>
      <c r="I246" s="33"/>
    </row>
    <row r="247" spans="8:9" ht="14.25" customHeight="1" x14ac:dyDescent="0.25">
      <c r="H247" s="33"/>
      <c r="I247" s="33"/>
    </row>
    <row r="248" spans="8:9" ht="14.25" customHeight="1" x14ac:dyDescent="0.25">
      <c r="H248" s="33"/>
      <c r="I248" s="33"/>
    </row>
    <row r="249" spans="8:9" ht="14.25" customHeight="1" x14ac:dyDescent="0.25">
      <c r="H249" s="33"/>
      <c r="I249" s="33"/>
    </row>
    <row r="250" spans="8:9" ht="14.25" customHeight="1" x14ac:dyDescent="0.25">
      <c r="H250" s="33"/>
      <c r="I250" s="33"/>
    </row>
    <row r="251" spans="8:9" ht="14.25" customHeight="1" x14ac:dyDescent="0.25">
      <c r="H251" s="33"/>
      <c r="I251" s="33"/>
    </row>
    <row r="252" spans="8:9" ht="14.25" customHeight="1" x14ac:dyDescent="0.25">
      <c r="H252" s="33"/>
      <c r="I252" s="33"/>
    </row>
    <row r="253" spans="8:9" ht="14.25" customHeight="1" x14ac:dyDescent="0.25">
      <c r="H253" s="33"/>
      <c r="I253" s="33"/>
    </row>
    <row r="254" spans="8:9" ht="14.25" customHeight="1" x14ac:dyDescent="0.25">
      <c r="H254" s="33"/>
      <c r="I254" s="33"/>
    </row>
    <row r="255" spans="8:9" ht="14.25" customHeight="1" x14ac:dyDescent="0.25">
      <c r="H255" s="33"/>
      <c r="I255" s="33"/>
    </row>
    <row r="256" spans="8:9" ht="14.25" customHeight="1" x14ac:dyDescent="0.25">
      <c r="H256" s="33"/>
      <c r="I256" s="33"/>
    </row>
    <row r="257" spans="8:9" ht="14.25" customHeight="1" x14ac:dyDescent="0.25">
      <c r="H257" s="33"/>
      <c r="I257" s="33"/>
    </row>
    <row r="258" spans="8:9" ht="14.25" customHeight="1" x14ac:dyDescent="0.25">
      <c r="H258" s="33"/>
      <c r="I258" s="33"/>
    </row>
    <row r="259" spans="8:9" ht="14.25" customHeight="1" x14ac:dyDescent="0.25">
      <c r="H259" s="33"/>
      <c r="I259" s="33"/>
    </row>
    <row r="260" spans="8:9" ht="14.25" customHeight="1" x14ac:dyDescent="0.25">
      <c r="H260" s="33"/>
      <c r="I260" s="33"/>
    </row>
    <row r="261" spans="8:9" ht="14.25" customHeight="1" x14ac:dyDescent="0.25">
      <c r="H261" s="33"/>
      <c r="I261" s="33"/>
    </row>
    <row r="262" spans="8:9" ht="14.25" customHeight="1" x14ac:dyDescent="0.25">
      <c r="H262" s="33"/>
      <c r="I262" s="33"/>
    </row>
    <row r="263" spans="8:9" ht="14.25" customHeight="1" x14ac:dyDescent="0.25">
      <c r="H263" s="33"/>
      <c r="I263" s="33"/>
    </row>
    <row r="264" spans="8:9" ht="14.25" customHeight="1" x14ac:dyDescent="0.25">
      <c r="H264" s="33"/>
      <c r="I264" s="33"/>
    </row>
    <row r="265" spans="8:9" ht="14.25" customHeight="1" x14ac:dyDescent="0.25">
      <c r="H265" s="33"/>
      <c r="I265" s="33"/>
    </row>
    <row r="266" spans="8:9" ht="14.25" customHeight="1" x14ac:dyDescent="0.25">
      <c r="H266" s="33"/>
      <c r="I266" s="33"/>
    </row>
    <row r="267" spans="8:9" ht="14.25" customHeight="1" x14ac:dyDescent="0.25">
      <c r="H267" s="33"/>
      <c r="I267" s="33"/>
    </row>
    <row r="268" spans="8:9" ht="14.25" customHeight="1" x14ac:dyDescent="0.25">
      <c r="H268" s="33"/>
      <c r="I268" s="33"/>
    </row>
    <row r="269" spans="8:9" ht="14.25" customHeight="1" x14ac:dyDescent="0.25">
      <c r="H269" s="33"/>
      <c r="I269" s="33"/>
    </row>
    <row r="270" spans="8:9" ht="14.25" customHeight="1" x14ac:dyDescent="0.25">
      <c r="H270" s="33"/>
      <c r="I270" s="33"/>
    </row>
    <row r="271" spans="8:9" ht="14.25" customHeight="1" x14ac:dyDescent="0.25">
      <c r="H271" s="33"/>
      <c r="I271" s="33"/>
    </row>
    <row r="272" spans="8:9" ht="14.25" customHeight="1" x14ac:dyDescent="0.25">
      <c r="H272" s="33"/>
      <c r="I272" s="33"/>
    </row>
    <row r="273" spans="8:9" ht="14.25" customHeight="1" x14ac:dyDescent="0.25">
      <c r="H273" s="33"/>
      <c r="I273" s="33"/>
    </row>
    <row r="274" spans="8:9" ht="14.25" customHeight="1" x14ac:dyDescent="0.25">
      <c r="H274" s="33"/>
      <c r="I274" s="33"/>
    </row>
    <row r="275" spans="8:9" ht="14.25" customHeight="1" x14ac:dyDescent="0.25">
      <c r="H275" s="33"/>
      <c r="I275" s="33"/>
    </row>
    <row r="276" spans="8:9" ht="14.25" customHeight="1" x14ac:dyDescent="0.25">
      <c r="H276" s="33"/>
      <c r="I276" s="33"/>
    </row>
    <row r="277" spans="8:9" ht="14.25" customHeight="1" x14ac:dyDescent="0.25">
      <c r="H277" s="33"/>
      <c r="I277" s="33"/>
    </row>
    <row r="278" spans="8:9" ht="14.25" customHeight="1" x14ac:dyDescent="0.25">
      <c r="H278" s="33"/>
      <c r="I278" s="33"/>
    </row>
    <row r="279" spans="8:9" ht="14.25" customHeight="1" x14ac:dyDescent="0.25">
      <c r="H279" s="33"/>
      <c r="I279" s="33"/>
    </row>
    <row r="280" spans="8:9" ht="14.25" customHeight="1" x14ac:dyDescent="0.25">
      <c r="H280" s="33"/>
      <c r="I280" s="33"/>
    </row>
    <row r="281" spans="8:9" ht="14.25" customHeight="1" x14ac:dyDescent="0.25">
      <c r="H281" s="33"/>
      <c r="I281" s="33"/>
    </row>
    <row r="282" spans="8:9" ht="14.25" customHeight="1" x14ac:dyDescent="0.25">
      <c r="H282" s="33"/>
      <c r="I282" s="33"/>
    </row>
    <row r="283" spans="8:9" ht="14.25" customHeight="1" x14ac:dyDescent="0.25">
      <c r="H283" s="33"/>
      <c r="I283" s="33"/>
    </row>
    <row r="284" spans="8:9" ht="14.25" customHeight="1" x14ac:dyDescent="0.25">
      <c r="H284" s="33"/>
      <c r="I284" s="33"/>
    </row>
    <row r="285" spans="8:9" ht="14.25" customHeight="1" x14ac:dyDescent="0.25">
      <c r="H285" s="33"/>
      <c r="I285" s="33"/>
    </row>
    <row r="286" spans="8:9" ht="14.25" customHeight="1" x14ac:dyDescent="0.25">
      <c r="H286" s="33"/>
      <c r="I286" s="33"/>
    </row>
    <row r="287" spans="8:9" ht="14.25" customHeight="1" x14ac:dyDescent="0.25">
      <c r="H287" s="33"/>
      <c r="I287" s="33"/>
    </row>
    <row r="288" spans="8:9" ht="14.25" customHeight="1" x14ac:dyDescent="0.25">
      <c r="H288" s="33"/>
      <c r="I288" s="33"/>
    </row>
    <row r="289" spans="8:9" ht="14.25" customHeight="1" x14ac:dyDescent="0.25">
      <c r="H289" s="33"/>
      <c r="I289" s="33"/>
    </row>
    <row r="290" spans="8:9" ht="14.25" customHeight="1" x14ac:dyDescent="0.25">
      <c r="H290" s="33"/>
      <c r="I290" s="33"/>
    </row>
    <row r="291" spans="8:9" ht="14.25" customHeight="1" x14ac:dyDescent="0.25">
      <c r="H291" s="33"/>
      <c r="I291" s="33"/>
    </row>
    <row r="292" spans="8:9" ht="14.25" customHeight="1" x14ac:dyDescent="0.25">
      <c r="H292" s="33"/>
      <c r="I292" s="33"/>
    </row>
    <row r="293" spans="8:9" ht="14.25" customHeight="1" x14ac:dyDescent="0.25">
      <c r="H293" s="33"/>
      <c r="I293" s="33"/>
    </row>
    <row r="294" spans="8:9" ht="14.25" customHeight="1" x14ac:dyDescent="0.25">
      <c r="H294" s="33"/>
      <c r="I294" s="33"/>
    </row>
    <row r="295" spans="8:9" ht="14.25" customHeight="1" x14ac:dyDescent="0.25">
      <c r="H295" s="33"/>
      <c r="I295" s="33"/>
    </row>
    <row r="296" spans="8:9" ht="14.25" customHeight="1" x14ac:dyDescent="0.25">
      <c r="H296" s="33"/>
      <c r="I296" s="33"/>
    </row>
    <row r="297" spans="8:9" ht="14.25" customHeight="1" x14ac:dyDescent="0.25">
      <c r="H297" s="33"/>
      <c r="I297" s="33"/>
    </row>
    <row r="298" spans="8:9" ht="14.25" customHeight="1" x14ac:dyDescent="0.25">
      <c r="H298" s="33"/>
      <c r="I298" s="33"/>
    </row>
    <row r="299" spans="8:9" ht="14.25" customHeight="1" x14ac:dyDescent="0.25">
      <c r="H299" s="33"/>
      <c r="I299" s="33"/>
    </row>
    <row r="300" spans="8:9" ht="14.25" customHeight="1" x14ac:dyDescent="0.25">
      <c r="H300" s="33"/>
      <c r="I300" s="33"/>
    </row>
    <row r="301" spans="8:9" ht="14.25" customHeight="1" x14ac:dyDescent="0.25">
      <c r="H301" s="33"/>
      <c r="I301" s="33"/>
    </row>
    <row r="302" spans="8:9" ht="14.25" customHeight="1" x14ac:dyDescent="0.25">
      <c r="H302" s="33"/>
      <c r="I302" s="33"/>
    </row>
    <row r="303" spans="8:9" ht="14.25" customHeight="1" x14ac:dyDescent="0.25">
      <c r="H303" s="33"/>
      <c r="I303" s="33"/>
    </row>
    <row r="304" spans="8:9" ht="14.25" customHeight="1" x14ac:dyDescent="0.25">
      <c r="H304" s="33"/>
      <c r="I304" s="33"/>
    </row>
    <row r="305" spans="8:9" ht="14.25" customHeight="1" x14ac:dyDescent="0.25">
      <c r="H305" s="33"/>
      <c r="I305" s="33"/>
    </row>
    <row r="306" spans="8:9" ht="14.25" customHeight="1" x14ac:dyDescent="0.25">
      <c r="H306" s="33"/>
      <c r="I306" s="33"/>
    </row>
    <row r="307" spans="8:9" ht="14.25" customHeight="1" x14ac:dyDescent="0.25">
      <c r="H307" s="33"/>
      <c r="I307" s="33"/>
    </row>
    <row r="308" spans="8:9" ht="14.25" customHeight="1" x14ac:dyDescent="0.25">
      <c r="H308" s="33"/>
      <c r="I308" s="33"/>
    </row>
    <row r="309" spans="8:9" ht="14.25" customHeight="1" x14ac:dyDescent="0.25">
      <c r="H309" s="33"/>
      <c r="I309" s="33"/>
    </row>
    <row r="310" spans="8:9" ht="14.25" customHeight="1" x14ac:dyDescent="0.25">
      <c r="H310" s="33"/>
      <c r="I310" s="33"/>
    </row>
    <row r="311" spans="8:9" ht="14.25" customHeight="1" x14ac:dyDescent="0.25">
      <c r="H311" s="33"/>
      <c r="I311" s="33"/>
    </row>
    <row r="312" spans="8:9" ht="14.25" customHeight="1" x14ac:dyDescent="0.25">
      <c r="H312" s="33"/>
      <c r="I312" s="33"/>
    </row>
    <row r="313" spans="8:9" ht="14.25" customHeight="1" x14ac:dyDescent="0.25">
      <c r="H313" s="33"/>
      <c r="I313" s="33"/>
    </row>
    <row r="314" spans="8:9" ht="14.25" customHeight="1" x14ac:dyDescent="0.25">
      <c r="H314" s="33"/>
      <c r="I314" s="33"/>
    </row>
    <row r="315" spans="8:9" ht="14.25" customHeight="1" x14ac:dyDescent="0.25">
      <c r="H315" s="33"/>
      <c r="I315" s="33"/>
    </row>
    <row r="316" spans="8:9" ht="14.25" customHeight="1" x14ac:dyDescent="0.25">
      <c r="H316" s="33"/>
      <c r="I316" s="33"/>
    </row>
    <row r="317" spans="8:9" ht="14.25" customHeight="1" x14ac:dyDescent="0.25">
      <c r="H317" s="33"/>
      <c r="I317" s="33"/>
    </row>
    <row r="318" spans="8:9" ht="14.25" customHeight="1" x14ac:dyDescent="0.25">
      <c r="H318" s="33"/>
      <c r="I318" s="33"/>
    </row>
    <row r="319" spans="8:9" ht="14.25" customHeight="1" x14ac:dyDescent="0.25">
      <c r="H319" s="33"/>
      <c r="I319" s="33"/>
    </row>
    <row r="320" spans="8:9" ht="14.25" customHeight="1" x14ac:dyDescent="0.25">
      <c r="H320" s="33"/>
      <c r="I320" s="33"/>
    </row>
    <row r="321" spans="8:9" ht="14.25" customHeight="1" x14ac:dyDescent="0.25">
      <c r="H321" s="33"/>
      <c r="I321" s="33"/>
    </row>
    <row r="322" spans="8:9" ht="14.25" customHeight="1" x14ac:dyDescent="0.25">
      <c r="H322" s="33"/>
      <c r="I322" s="33"/>
    </row>
    <row r="323" spans="8:9" ht="14.25" customHeight="1" x14ac:dyDescent="0.25">
      <c r="H323" s="33"/>
      <c r="I323" s="33"/>
    </row>
    <row r="324" spans="8:9" ht="14.25" customHeight="1" x14ac:dyDescent="0.25">
      <c r="H324" s="33"/>
      <c r="I324" s="33"/>
    </row>
    <row r="325" spans="8:9" ht="14.25" customHeight="1" x14ac:dyDescent="0.25">
      <c r="H325" s="33"/>
      <c r="I325" s="33"/>
    </row>
    <row r="326" spans="8:9" ht="14.25" customHeight="1" x14ac:dyDescent="0.25">
      <c r="H326" s="33"/>
      <c r="I326" s="33"/>
    </row>
    <row r="327" spans="8:9" ht="14.25" customHeight="1" x14ac:dyDescent="0.25">
      <c r="H327" s="33"/>
      <c r="I327" s="33"/>
    </row>
    <row r="328" spans="8:9" ht="14.25" customHeight="1" x14ac:dyDescent="0.25">
      <c r="H328" s="33"/>
      <c r="I328" s="33"/>
    </row>
    <row r="329" spans="8:9" ht="14.25" customHeight="1" x14ac:dyDescent="0.25">
      <c r="H329" s="33"/>
      <c r="I329" s="33"/>
    </row>
    <row r="330" spans="8:9" ht="14.25" customHeight="1" x14ac:dyDescent="0.25">
      <c r="H330" s="33"/>
      <c r="I330" s="33"/>
    </row>
    <row r="331" spans="8:9" ht="14.25" customHeight="1" x14ac:dyDescent="0.25">
      <c r="H331" s="33"/>
      <c r="I331" s="33"/>
    </row>
    <row r="332" spans="8:9" ht="14.25" customHeight="1" x14ac:dyDescent="0.25">
      <c r="H332" s="33"/>
      <c r="I332" s="33"/>
    </row>
    <row r="333" spans="8:9" ht="14.25" customHeight="1" x14ac:dyDescent="0.25">
      <c r="H333" s="33"/>
      <c r="I333" s="33"/>
    </row>
    <row r="334" spans="8:9" ht="14.25" customHeight="1" x14ac:dyDescent="0.25">
      <c r="H334" s="33"/>
      <c r="I334" s="33"/>
    </row>
    <row r="335" spans="8:9" ht="14.25" customHeight="1" x14ac:dyDescent="0.25">
      <c r="H335" s="33"/>
      <c r="I335" s="33"/>
    </row>
    <row r="336" spans="8:9" ht="14.25" customHeight="1" x14ac:dyDescent="0.25">
      <c r="H336" s="33"/>
      <c r="I336" s="33"/>
    </row>
    <row r="337" spans="8:9" ht="14.25" customHeight="1" x14ac:dyDescent="0.25">
      <c r="H337" s="33"/>
      <c r="I337" s="33"/>
    </row>
    <row r="338" spans="8:9" ht="14.25" customHeight="1" x14ac:dyDescent="0.25">
      <c r="H338" s="33"/>
      <c r="I338" s="33"/>
    </row>
    <row r="339" spans="8:9" ht="14.25" customHeight="1" x14ac:dyDescent="0.25">
      <c r="H339" s="33"/>
      <c r="I339" s="33"/>
    </row>
    <row r="340" spans="8:9" ht="14.25" customHeight="1" x14ac:dyDescent="0.25">
      <c r="H340" s="33"/>
      <c r="I340" s="33"/>
    </row>
    <row r="341" spans="8:9" ht="14.25" customHeight="1" x14ac:dyDescent="0.25">
      <c r="H341" s="33"/>
      <c r="I341" s="33"/>
    </row>
    <row r="342" spans="8:9" ht="14.25" customHeight="1" x14ac:dyDescent="0.25">
      <c r="H342" s="33"/>
      <c r="I342" s="33"/>
    </row>
    <row r="343" spans="8:9" ht="14.25" customHeight="1" x14ac:dyDescent="0.25">
      <c r="H343" s="33"/>
      <c r="I343" s="33"/>
    </row>
    <row r="344" spans="8:9" ht="14.25" customHeight="1" x14ac:dyDescent="0.25">
      <c r="H344" s="33"/>
      <c r="I344" s="33"/>
    </row>
    <row r="345" spans="8:9" ht="14.25" customHeight="1" x14ac:dyDescent="0.25">
      <c r="H345" s="33"/>
      <c r="I345" s="33"/>
    </row>
    <row r="346" spans="8:9" ht="14.25" customHeight="1" x14ac:dyDescent="0.25">
      <c r="H346" s="33"/>
      <c r="I346" s="33"/>
    </row>
    <row r="347" spans="8:9" ht="14.25" customHeight="1" x14ac:dyDescent="0.25">
      <c r="H347" s="33"/>
      <c r="I347" s="33"/>
    </row>
    <row r="348" spans="8:9" ht="14.25" customHeight="1" x14ac:dyDescent="0.25">
      <c r="H348" s="33"/>
      <c r="I348" s="33"/>
    </row>
    <row r="349" spans="8:9" ht="14.25" customHeight="1" x14ac:dyDescent="0.25">
      <c r="H349" s="33"/>
      <c r="I349" s="33"/>
    </row>
    <row r="350" spans="8:9" ht="14.25" customHeight="1" x14ac:dyDescent="0.25">
      <c r="H350" s="33"/>
      <c r="I350" s="33"/>
    </row>
    <row r="351" spans="8:9" ht="14.25" customHeight="1" x14ac:dyDescent="0.25">
      <c r="H351" s="33"/>
      <c r="I351" s="33"/>
    </row>
    <row r="352" spans="8:9" ht="14.25" customHeight="1" x14ac:dyDescent="0.25">
      <c r="H352" s="33"/>
      <c r="I352" s="33"/>
    </row>
    <row r="353" spans="8:9" ht="14.25" customHeight="1" x14ac:dyDescent="0.25">
      <c r="H353" s="33"/>
      <c r="I353" s="33"/>
    </row>
    <row r="354" spans="8:9" ht="14.25" customHeight="1" x14ac:dyDescent="0.25">
      <c r="H354" s="33"/>
      <c r="I354" s="33"/>
    </row>
    <row r="355" spans="8:9" ht="14.25" customHeight="1" x14ac:dyDescent="0.25">
      <c r="H355" s="33"/>
      <c r="I355" s="33"/>
    </row>
    <row r="356" spans="8:9" ht="14.25" customHeight="1" x14ac:dyDescent="0.25">
      <c r="H356" s="33"/>
      <c r="I356" s="33"/>
    </row>
    <row r="357" spans="8:9" ht="14.25" customHeight="1" x14ac:dyDescent="0.25">
      <c r="H357" s="33"/>
      <c r="I357" s="33"/>
    </row>
    <row r="358" spans="8:9" ht="14.25" customHeight="1" x14ac:dyDescent="0.25">
      <c r="H358" s="33"/>
      <c r="I358" s="33"/>
    </row>
    <row r="359" spans="8:9" ht="14.25" customHeight="1" x14ac:dyDescent="0.25">
      <c r="H359" s="33"/>
      <c r="I359" s="33"/>
    </row>
    <row r="360" spans="8:9" ht="14.25" customHeight="1" x14ac:dyDescent="0.25">
      <c r="H360" s="33"/>
      <c r="I360" s="33"/>
    </row>
    <row r="361" spans="8:9" ht="14.25" customHeight="1" x14ac:dyDescent="0.25">
      <c r="H361" s="33"/>
      <c r="I361" s="33"/>
    </row>
    <row r="362" spans="8:9" ht="14.25" customHeight="1" x14ac:dyDescent="0.25">
      <c r="H362" s="33"/>
      <c r="I362" s="33"/>
    </row>
    <row r="363" spans="8:9" ht="14.25" customHeight="1" x14ac:dyDescent="0.25">
      <c r="H363" s="33"/>
      <c r="I363" s="33"/>
    </row>
    <row r="364" spans="8:9" ht="14.25" customHeight="1" x14ac:dyDescent="0.25">
      <c r="H364" s="33"/>
      <c r="I364" s="33"/>
    </row>
    <row r="365" spans="8:9" ht="14.25" customHeight="1" x14ac:dyDescent="0.25">
      <c r="H365" s="33"/>
      <c r="I365" s="33"/>
    </row>
    <row r="366" spans="8:9" ht="14.25" customHeight="1" x14ac:dyDescent="0.25">
      <c r="H366" s="33"/>
      <c r="I366" s="33"/>
    </row>
    <row r="367" spans="8:9" ht="14.25" customHeight="1" x14ac:dyDescent="0.25">
      <c r="H367" s="33"/>
      <c r="I367" s="33"/>
    </row>
    <row r="368" spans="8:9" ht="14.25" customHeight="1" x14ac:dyDescent="0.25">
      <c r="H368" s="33"/>
      <c r="I368" s="33"/>
    </row>
    <row r="369" spans="8:9" ht="14.25" customHeight="1" x14ac:dyDescent="0.25">
      <c r="H369" s="33"/>
      <c r="I369" s="33"/>
    </row>
    <row r="370" spans="8:9" ht="14.25" customHeight="1" x14ac:dyDescent="0.25">
      <c r="H370" s="33"/>
      <c r="I370" s="33"/>
    </row>
    <row r="371" spans="8:9" ht="14.25" customHeight="1" x14ac:dyDescent="0.25">
      <c r="H371" s="33"/>
      <c r="I371" s="33"/>
    </row>
    <row r="372" spans="8:9" ht="14.25" customHeight="1" x14ac:dyDescent="0.25">
      <c r="H372" s="33"/>
      <c r="I372" s="33"/>
    </row>
    <row r="373" spans="8:9" ht="14.25" customHeight="1" x14ac:dyDescent="0.25">
      <c r="H373" s="33"/>
      <c r="I373" s="33"/>
    </row>
    <row r="374" spans="8:9" ht="14.25" customHeight="1" x14ac:dyDescent="0.25">
      <c r="H374" s="33"/>
      <c r="I374" s="33"/>
    </row>
    <row r="375" spans="8:9" ht="14.25" customHeight="1" x14ac:dyDescent="0.25">
      <c r="H375" s="33"/>
      <c r="I375" s="33"/>
    </row>
    <row r="376" spans="8:9" ht="14.25" customHeight="1" x14ac:dyDescent="0.25">
      <c r="H376" s="33"/>
      <c r="I376" s="33"/>
    </row>
    <row r="377" spans="8:9" ht="14.25" customHeight="1" x14ac:dyDescent="0.25">
      <c r="H377" s="33"/>
      <c r="I377" s="33"/>
    </row>
    <row r="378" spans="8:9" ht="14.25" customHeight="1" x14ac:dyDescent="0.25">
      <c r="H378" s="33"/>
      <c r="I378" s="33"/>
    </row>
    <row r="379" spans="8:9" ht="14.25" customHeight="1" x14ac:dyDescent="0.25">
      <c r="H379" s="33"/>
      <c r="I379" s="33"/>
    </row>
    <row r="380" spans="8:9" ht="14.25" customHeight="1" x14ac:dyDescent="0.25">
      <c r="H380" s="33"/>
      <c r="I380" s="33"/>
    </row>
    <row r="381" spans="8:9" ht="14.25" customHeight="1" x14ac:dyDescent="0.25">
      <c r="H381" s="33"/>
      <c r="I381" s="33"/>
    </row>
    <row r="382" spans="8:9" ht="14.25" customHeight="1" x14ac:dyDescent="0.25">
      <c r="H382" s="33"/>
      <c r="I382" s="33"/>
    </row>
    <row r="383" spans="8:9" ht="14.25" customHeight="1" x14ac:dyDescent="0.25">
      <c r="H383" s="33"/>
      <c r="I383" s="33"/>
    </row>
    <row r="384" spans="8:9" ht="14.25" customHeight="1" x14ac:dyDescent="0.25">
      <c r="H384" s="33"/>
      <c r="I384" s="33"/>
    </row>
    <row r="385" spans="8:9" ht="14.25" customHeight="1" x14ac:dyDescent="0.25">
      <c r="H385" s="33"/>
      <c r="I385" s="33"/>
    </row>
    <row r="386" spans="8:9" ht="14.25" customHeight="1" x14ac:dyDescent="0.25">
      <c r="H386" s="33"/>
      <c r="I386" s="33"/>
    </row>
    <row r="387" spans="8:9" ht="14.25" customHeight="1" x14ac:dyDescent="0.25">
      <c r="H387" s="33"/>
      <c r="I387" s="33"/>
    </row>
    <row r="388" spans="8:9" ht="14.25" customHeight="1" x14ac:dyDescent="0.25">
      <c r="H388" s="33"/>
      <c r="I388" s="33"/>
    </row>
    <row r="389" spans="8:9" ht="14.25" customHeight="1" x14ac:dyDescent="0.25">
      <c r="H389" s="33"/>
      <c r="I389" s="33"/>
    </row>
    <row r="390" spans="8:9" ht="14.25" customHeight="1" x14ac:dyDescent="0.25">
      <c r="H390" s="33"/>
      <c r="I390" s="33"/>
    </row>
    <row r="391" spans="8:9" ht="14.25" customHeight="1" x14ac:dyDescent="0.25">
      <c r="H391" s="33"/>
      <c r="I391" s="33"/>
    </row>
    <row r="392" spans="8:9" ht="14.25" customHeight="1" x14ac:dyDescent="0.25">
      <c r="H392" s="33"/>
      <c r="I392" s="33"/>
    </row>
    <row r="393" spans="8:9" ht="14.25" customHeight="1" x14ac:dyDescent="0.25">
      <c r="H393" s="33"/>
      <c r="I393" s="33"/>
    </row>
    <row r="394" spans="8:9" ht="14.25" customHeight="1" x14ac:dyDescent="0.25">
      <c r="H394" s="33"/>
      <c r="I394" s="33"/>
    </row>
    <row r="395" spans="8:9" ht="14.25" customHeight="1" x14ac:dyDescent="0.25">
      <c r="H395" s="33"/>
      <c r="I395" s="33"/>
    </row>
    <row r="396" spans="8:9" ht="14.25" customHeight="1" x14ac:dyDescent="0.25">
      <c r="H396" s="33"/>
      <c r="I396" s="33"/>
    </row>
    <row r="397" spans="8:9" ht="14.25" customHeight="1" x14ac:dyDescent="0.25">
      <c r="H397" s="33"/>
      <c r="I397" s="33"/>
    </row>
    <row r="398" spans="8:9" ht="14.25" customHeight="1" x14ac:dyDescent="0.25">
      <c r="H398" s="33"/>
      <c r="I398" s="33"/>
    </row>
    <row r="399" spans="8:9" ht="14.25" customHeight="1" x14ac:dyDescent="0.25">
      <c r="H399" s="33"/>
      <c r="I399" s="33"/>
    </row>
    <row r="400" spans="8:9" ht="14.25" customHeight="1" x14ac:dyDescent="0.25">
      <c r="H400" s="33"/>
      <c r="I400" s="33"/>
    </row>
    <row r="401" spans="8:9" ht="14.25" customHeight="1" x14ac:dyDescent="0.25">
      <c r="H401" s="33"/>
      <c r="I401" s="33"/>
    </row>
    <row r="402" spans="8:9" ht="14.25" customHeight="1" x14ac:dyDescent="0.25">
      <c r="H402" s="33"/>
      <c r="I402" s="33"/>
    </row>
    <row r="403" spans="8:9" ht="14.25" customHeight="1" x14ac:dyDescent="0.25">
      <c r="H403" s="33"/>
      <c r="I403" s="33"/>
    </row>
    <row r="404" spans="8:9" ht="14.25" customHeight="1" x14ac:dyDescent="0.25">
      <c r="H404" s="33"/>
      <c r="I404" s="33"/>
    </row>
    <row r="405" spans="8:9" ht="14.25" customHeight="1" x14ac:dyDescent="0.25">
      <c r="H405" s="33"/>
      <c r="I405" s="33"/>
    </row>
    <row r="406" spans="8:9" ht="14.25" customHeight="1" x14ac:dyDescent="0.25">
      <c r="H406" s="33"/>
      <c r="I406" s="33"/>
    </row>
    <row r="407" spans="8:9" ht="14.25" customHeight="1" x14ac:dyDescent="0.25">
      <c r="H407" s="33"/>
      <c r="I407" s="33"/>
    </row>
    <row r="408" spans="8:9" ht="14.25" customHeight="1" x14ac:dyDescent="0.25">
      <c r="H408" s="33"/>
      <c r="I408" s="33"/>
    </row>
    <row r="409" spans="8:9" ht="14.25" customHeight="1" x14ac:dyDescent="0.25">
      <c r="H409" s="33"/>
      <c r="I409" s="33"/>
    </row>
    <row r="410" spans="8:9" ht="14.25" customHeight="1" x14ac:dyDescent="0.25">
      <c r="H410" s="33"/>
      <c r="I410" s="33"/>
    </row>
    <row r="411" spans="8:9" ht="14.25" customHeight="1" x14ac:dyDescent="0.25">
      <c r="H411" s="33"/>
      <c r="I411" s="33"/>
    </row>
    <row r="412" spans="8:9" ht="14.25" customHeight="1" x14ac:dyDescent="0.25">
      <c r="H412" s="33"/>
      <c r="I412" s="33"/>
    </row>
    <row r="413" spans="8:9" ht="14.25" customHeight="1" x14ac:dyDescent="0.25">
      <c r="H413" s="33"/>
      <c r="I413" s="33"/>
    </row>
    <row r="414" spans="8:9" ht="14.25" customHeight="1" x14ac:dyDescent="0.25">
      <c r="H414" s="33"/>
      <c r="I414" s="33"/>
    </row>
    <row r="415" spans="8:9" ht="14.25" customHeight="1" x14ac:dyDescent="0.25">
      <c r="H415" s="33"/>
      <c r="I415" s="33"/>
    </row>
    <row r="416" spans="8:9" ht="14.25" customHeight="1" x14ac:dyDescent="0.25">
      <c r="H416" s="33"/>
      <c r="I416" s="33"/>
    </row>
    <row r="417" spans="8:9" ht="14.25" customHeight="1" x14ac:dyDescent="0.25">
      <c r="H417" s="33"/>
      <c r="I417" s="33"/>
    </row>
    <row r="418" spans="8:9" ht="14.25" customHeight="1" x14ac:dyDescent="0.25">
      <c r="H418" s="33"/>
      <c r="I418" s="33"/>
    </row>
    <row r="419" spans="8:9" ht="14.25" customHeight="1" x14ac:dyDescent="0.25">
      <c r="H419" s="33"/>
      <c r="I419" s="33"/>
    </row>
    <row r="420" spans="8:9" ht="14.25" customHeight="1" x14ac:dyDescent="0.25">
      <c r="H420" s="33"/>
      <c r="I420" s="33"/>
    </row>
    <row r="421" spans="8:9" ht="14.25" customHeight="1" x14ac:dyDescent="0.25">
      <c r="H421" s="33"/>
      <c r="I421" s="33"/>
    </row>
    <row r="422" spans="8:9" ht="14.25" customHeight="1" x14ac:dyDescent="0.25">
      <c r="H422" s="33"/>
      <c r="I422" s="33"/>
    </row>
    <row r="423" spans="8:9" ht="14.25" customHeight="1" x14ac:dyDescent="0.25">
      <c r="H423" s="33"/>
      <c r="I423" s="33"/>
    </row>
    <row r="424" spans="8:9" ht="14.25" customHeight="1" x14ac:dyDescent="0.25">
      <c r="H424" s="33"/>
      <c r="I424" s="33"/>
    </row>
    <row r="425" spans="8:9" ht="14.25" customHeight="1" x14ac:dyDescent="0.25">
      <c r="H425" s="33"/>
      <c r="I425" s="33"/>
    </row>
    <row r="426" spans="8:9" ht="14.25" customHeight="1" x14ac:dyDescent="0.25">
      <c r="H426" s="33"/>
      <c r="I426" s="33"/>
    </row>
    <row r="427" spans="8:9" ht="14.25" customHeight="1" x14ac:dyDescent="0.25">
      <c r="H427" s="33"/>
      <c r="I427" s="33"/>
    </row>
    <row r="428" spans="8:9" ht="14.25" customHeight="1" x14ac:dyDescent="0.25">
      <c r="H428" s="33"/>
      <c r="I428" s="33"/>
    </row>
    <row r="429" spans="8:9" ht="14.25" customHeight="1" x14ac:dyDescent="0.25">
      <c r="H429" s="33"/>
      <c r="I429" s="33"/>
    </row>
    <row r="430" spans="8:9" ht="14.25" customHeight="1" x14ac:dyDescent="0.25">
      <c r="H430" s="33"/>
      <c r="I430" s="33"/>
    </row>
    <row r="431" spans="8:9" ht="14.25" customHeight="1" x14ac:dyDescent="0.25">
      <c r="H431" s="33"/>
      <c r="I431" s="33"/>
    </row>
    <row r="432" spans="8:9" ht="14.25" customHeight="1" x14ac:dyDescent="0.25">
      <c r="H432" s="33"/>
      <c r="I432" s="33"/>
    </row>
    <row r="433" spans="8:9" ht="14.25" customHeight="1" x14ac:dyDescent="0.25">
      <c r="H433" s="33"/>
      <c r="I433" s="33"/>
    </row>
    <row r="434" spans="8:9" ht="14.25" customHeight="1" x14ac:dyDescent="0.25">
      <c r="H434" s="33"/>
      <c r="I434" s="33"/>
    </row>
    <row r="435" spans="8:9" ht="14.25" customHeight="1" x14ac:dyDescent="0.25">
      <c r="H435" s="33"/>
      <c r="I435" s="33"/>
    </row>
    <row r="436" spans="8:9" ht="14.25" customHeight="1" x14ac:dyDescent="0.25">
      <c r="H436" s="33"/>
      <c r="I436" s="33"/>
    </row>
    <row r="437" spans="8:9" ht="14.25" customHeight="1" x14ac:dyDescent="0.25">
      <c r="H437" s="33"/>
      <c r="I437" s="33"/>
    </row>
    <row r="438" spans="8:9" ht="14.25" customHeight="1" x14ac:dyDescent="0.25">
      <c r="H438" s="33"/>
      <c r="I438" s="33"/>
    </row>
    <row r="439" spans="8:9" ht="14.25" customHeight="1" x14ac:dyDescent="0.25">
      <c r="H439" s="33"/>
      <c r="I439" s="33"/>
    </row>
    <row r="440" spans="8:9" ht="14.25" customHeight="1" x14ac:dyDescent="0.25">
      <c r="H440" s="33"/>
      <c r="I440" s="33"/>
    </row>
    <row r="441" spans="8:9" ht="14.25" customHeight="1" x14ac:dyDescent="0.25">
      <c r="H441" s="33"/>
      <c r="I441" s="33"/>
    </row>
    <row r="442" spans="8:9" ht="14.25" customHeight="1" x14ac:dyDescent="0.25">
      <c r="H442" s="33"/>
      <c r="I442" s="33"/>
    </row>
    <row r="443" spans="8:9" ht="14.25" customHeight="1" x14ac:dyDescent="0.25">
      <c r="H443" s="33"/>
      <c r="I443" s="33"/>
    </row>
    <row r="444" spans="8:9" ht="14.25" customHeight="1" x14ac:dyDescent="0.25">
      <c r="H444" s="33"/>
      <c r="I444" s="33"/>
    </row>
    <row r="445" spans="8:9" ht="14.25" customHeight="1" x14ac:dyDescent="0.25">
      <c r="H445" s="33"/>
      <c r="I445" s="33"/>
    </row>
    <row r="446" spans="8:9" ht="14.25" customHeight="1" x14ac:dyDescent="0.25">
      <c r="H446" s="33"/>
      <c r="I446" s="33"/>
    </row>
    <row r="447" spans="8:9" ht="14.25" customHeight="1" x14ac:dyDescent="0.25">
      <c r="H447" s="33"/>
      <c r="I447" s="33"/>
    </row>
    <row r="448" spans="8:9" ht="14.25" customHeight="1" x14ac:dyDescent="0.25">
      <c r="H448" s="33"/>
      <c r="I448" s="33"/>
    </row>
    <row r="449" spans="8:9" ht="14.25" customHeight="1" x14ac:dyDescent="0.25">
      <c r="H449" s="33"/>
      <c r="I449" s="33"/>
    </row>
    <row r="450" spans="8:9" ht="14.25" customHeight="1" x14ac:dyDescent="0.25">
      <c r="H450" s="33"/>
      <c r="I450" s="33"/>
    </row>
    <row r="451" spans="8:9" ht="14.25" customHeight="1" x14ac:dyDescent="0.25">
      <c r="H451" s="33"/>
      <c r="I451" s="33"/>
    </row>
    <row r="452" spans="8:9" ht="14.25" customHeight="1" x14ac:dyDescent="0.25">
      <c r="H452" s="33"/>
      <c r="I452" s="33"/>
    </row>
    <row r="453" spans="8:9" ht="14.25" customHeight="1" x14ac:dyDescent="0.25">
      <c r="H453" s="33"/>
      <c r="I453" s="33"/>
    </row>
    <row r="454" spans="8:9" ht="14.25" customHeight="1" x14ac:dyDescent="0.25">
      <c r="H454" s="33"/>
      <c r="I454" s="33"/>
    </row>
    <row r="455" spans="8:9" ht="14.25" customHeight="1" x14ac:dyDescent="0.25">
      <c r="H455" s="33"/>
      <c r="I455" s="33"/>
    </row>
    <row r="456" spans="8:9" ht="14.25" customHeight="1" x14ac:dyDescent="0.25">
      <c r="H456" s="33"/>
      <c r="I456" s="33"/>
    </row>
    <row r="457" spans="8:9" ht="14.25" customHeight="1" x14ac:dyDescent="0.25">
      <c r="H457" s="33"/>
      <c r="I457" s="33"/>
    </row>
    <row r="458" spans="8:9" ht="14.25" customHeight="1" x14ac:dyDescent="0.25">
      <c r="H458" s="33"/>
      <c r="I458" s="33"/>
    </row>
    <row r="459" spans="8:9" ht="14.25" customHeight="1" x14ac:dyDescent="0.25">
      <c r="H459" s="33"/>
      <c r="I459" s="33"/>
    </row>
    <row r="460" spans="8:9" ht="14.25" customHeight="1" x14ac:dyDescent="0.25">
      <c r="H460" s="33"/>
      <c r="I460" s="33"/>
    </row>
    <row r="461" spans="8:9" ht="14.25" customHeight="1" x14ac:dyDescent="0.25">
      <c r="H461" s="33"/>
      <c r="I461" s="33"/>
    </row>
    <row r="462" spans="8:9" ht="14.25" customHeight="1" x14ac:dyDescent="0.25">
      <c r="H462" s="33"/>
      <c r="I462" s="33"/>
    </row>
    <row r="463" spans="8:9" ht="14.25" customHeight="1" x14ac:dyDescent="0.25">
      <c r="H463" s="33"/>
      <c r="I463" s="33"/>
    </row>
    <row r="464" spans="8:9" ht="14.25" customHeight="1" x14ac:dyDescent="0.25">
      <c r="H464" s="33"/>
      <c r="I464" s="33"/>
    </row>
    <row r="465" spans="8:9" ht="14.25" customHeight="1" x14ac:dyDescent="0.25">
      <c r="H465" s="33"/>
      <c r="I465" s="33"/>
    </row>
    <row r="466" spans="8:9" ht="14.25" customHeight="1" x14ac:dyDescent="0.25">
      <c r="H466" s="33"/>
      <c r="I466" s="33"/>
    </row>
    <row r="467" spans="8:9" ht="14.25" customHeight="1" x14ac:dyDescent="0.25">
      <c r="H467" s="33"/>
      <c r="I467" s="33"/>
    </row>
    <row r="468" spans="8:9" ht="14.25" customHeight="1" x14ac:dyDescent="0.25">
      <c r="H468" s="33"/>
      <c r="I468" s="33"/>
    </row>
    <row r="469" spans="8:9" ht="14.25" customHeight="1" x14ac:dyDescent="0.25">
      <c r="H469" s="33"/>
      <c r="I469" s="33"/>
    </row>
    <row r="470" spans="8:9" ht="14.25" customHeight="1" x14ac:dyDescent="0.25">
      <c r="H470" s="33"/>
      <c r="I470" s="33"/>
    </row>
    <row r="471" spans="8:9" ht="14.25" customHeight="1" x14ac:dyDescent="0.25">
      <c r="H471" s="33"/>
      <c r="I471" s="33"/>
    </row>
    <row r="472" spans="8:9" ht="14.25" customHeight="1" x14ac:dyDescent="0.25">
      <c r="H472" s="33"/>
      <c r="I472" s="33"/>
    </row>
    <row r="473" spans="8:9" ht="14.25" customHeight="1" x14ac:dyDescent="0.25">
      <c r="H473" s="33"/>
      <c r="I473" s="33"/>
    </row>
    <row r="474" spans="8:9" ht="14.25" customHeight="1" x14ac:dyDescent="0.25">
      <c r="H474" s="33"/>
      <c r="I474" s="33"/>
    </row>
    <row r="475" spans="8:9" ht="14.25" customHeight="1" x14ac:dyDescent="0.25">
      <c r="H475" s="33"/>
      <c r="I475" s="33"/>
    </row>
    <row r="476" spans="8:9" ht="14.25" customHeight="1" x14ac:dyDescent="0.25">
      <c r="H476" s="33"/>
      <c r="I476" s="33"/>
    </row>
    <row r="477" spans="8:9" ht="14.25" customHeight="1" x14ac:dyDescent="0.25">
      <c r="H477" s="33"/>
      <c r="I477" s="33"/>
    </row>
    <row r="478" spans="8:9" ht="14.25" customHeight="1" x14ac:dyDescent="0.25">
      <c r="H478" s="33"/>
      <c r="I478" s="33"/>
    </row>
    <row r="479" spans="8:9" ht="14.25" customHeight="1" x14ac:dyDescent="0.25">
      <c r="H479" s="33"/>
      <c r="I479" s="33"/>
    </row>
    <row r="480" spans="8:9" ht="14.25" customHeight="1" x14ac:dyDescent="0.25">
      <c r="H480" s="33"/>
      <c r="I480" s="33"/>
    </row>
    <row r="481" spans="8:9" ht="14.25" customHeight="1" x14ac:dyDescent="0.25">
      <c r="H481" s="33"/>
      <c r="I481" s="33"/>
    </row>
    <row r="482" spans="8:9" ht="14.25" customHeight="1" x14ac:dyDescent="0.25">
      <c r="H482" s="33"/>
      <c r="I482" s="33"/>
    </row>
    <row r="483" spans="8:9" ht="14.25" customHeight="1" x14ac:dyDescent="0.25">
      <c r="H483" s="33"/>
      <c r="I483" s="33"/>
    </row>
    <row r="484" spans="8:9" ht="14.25" customHeight="1" x14ac:dyDescent="0.25">
      <c r="H484" s="33"/>
      <c r="I484" s="33"/>
    </row>
    <row r="485" spans="8:9" ht="14.25" customHeight="1" x14ac:dyDescent="0.25">
      <c r="H485" s="33"/>
      <c r="I485" s="33"/>
    </row>
    <row r="486" spans="8:9" ht="14.25" customHeight="1" x14ac:dyDescent="0.25">
      <c r="H486" s="33"/>
      <c r="I486" s="33"/>
    </row>
    <row r="487" spans="8:9" ht="14.25" customHeight="1" x14ac:dyDescent="0.25">
      <c r="H487" s="33"/>
      <c r="I487" s="33"/>
    </row>
    <row r="488" spans="8:9" ht="14.25" customHeight="1" x14ac:dyDescent="0.25">
      <c r="H488" s="33"/>
      <c r="I488" s="33"/>
    </row>
    <row r="489" spans="8:9" ht="14.25" customHeight="1" x14ac:dyDescent="0.25">
      <c r="H489" s="33"/>
      <c r="I489" s="33"/>
    </row>
    <row r="490" spans="8:9" ht="14.25" customHeight="1" x14ac:dyDescent="0.25">
      <c r="H490" s="33"/>
      <c r="I490" s="33"/>
    </row>
    <row r="491" spans="8:9" ht="14.25" customHeight="1" x14ac:dyDescent="0.25">
      <c r="H491" s="33"/>
      <c r="I491" s="33"/>
    </row>
    <row r="492" spans="8:9" ht="14.25" customHeight="1" x14ac:dyDescent="0.25">
      <c r="H492" s="33"/>
      <c r="I492" s="33"/>
    </row>
    <row r="493" spans="8:9" ht="14.25" customHeight="1" x14ac:dyDescent="0.25">
      <c r="H493" s="33"/>
      <c r="I493" s="33"/>
    </row>
    <row r="494" spans="8:9" ht="14.25" customHeight="1" x14ac:dyDescent="0.25">
      <c r="H494" s="33"/>
      <c r="I494" s="33"/>
    </row>
    <row r="495" spans="8:9" ht="14.25" customHeight="1" x14ac:dyDescent="0.25">
      <c r="H495" s="33"/>
      <c r="I495" s="33"/>
    </row>
    <row r="496" spans="8:9" ht="14.25" customHeight="1" x14ac:dyDescent="0.25">
      <c r="H496" s="33"/>
      <c r="I496" s="33"/>
    </row>
    <row r="497" spans="8:9" ht="14.25" customHeight="1" x14ac:dyDescent="0.25">
      <c r="H497" s="33"/>
      <c r="I497" s="33"/>
    </row>
    <row r="498" spans="8:9" ht="14.25" customHeight="1" x14ac:dyDescent="0.25">
      <c r="H498" s="33"/>
      <c r="I498" s="33"/>
    </row>
    <row r="499" spans="8:9" ht="14.25" customHeight="1" x14ac:dyDescent="0.25">
      <c r="H499" s="33"/>
      <c r="I499" s="33"/>
    </row>
    <row r="500" spans="8:9" ht="14.25" customHeight="1" x14ac:dyDescent="0.25">
      <c r="H500" s="33"/>
      <c r="I500" s="33"/>
    </row>
    <row r="501" spans="8:9" ht="14.25" customHeight="1" x14ac:dyDescent="0.25">
      <c r="H501" s="33"/>
      <c r="I501" s="33"/>
    </row>
    <row r="502" spans="8:9" ht="14.25" customHeight="1" x14ac:dyDescent="0.25">
      <c r="H502" s="33"/>
      <c r="I502" s="33"/>
    </row>
    <row r="503" spans="8:9" ht="14.25" customHeight="1" x14ac:dyDescent="0.25">
      <c r="H503" s="33"/>
      <c r="I503" s="33"/>
    </row>
    <row r="504" spans="8:9" ht="14.25" customHeight="1" x14ac:dyDescent="0.25">
      <c r="H504" s="33"/>
      <c r="I504" s="33"/>
    </row>
    <row r="505" spans="8:9" ht="14.25" customHeight="1" x14ac:dyDescent="0.25">
      <c r="H505" s="33"/>
      <c r="I505" s="33"/>
    </row>
    <row r="506" spans="8:9" ht="14.25" customHeight="1" x14ac:dyDescent="0.25">
      <c r="H506" s="33"/>
      <c r="I506" s="33"/>
    </row>
    <row r="507" spans="8:9" ht="14.25" customHeight="1" x14ac:dyDescent="0.25">
      <c r="H507" s="33"/>
      <c r="I507" s="33"/>
    </row>
    <row r="508" spans="8:9" ht="14.25" customHeight="1" x14ac:dyDescent="0.25">
      <c r="H508" s="33"/>
      <c r="I508" s="33"/>
    </row>
    <row r="509" spans="8:9" ht="14.25" customHeight="1" x14ac:dyDescent="0.25">
      <c r="H509" s="33"/>
      <c r="I509" s="33"/>
    </row>
    <row r="510" spans="8:9" ht="14.25" customHeight="1" x14ac:dyDescent="0.25">
      <c r="H510" s="33"/>
      <c r="I510" s="33"/>
    </row>
    <row r="511" spans="8:9" ht="14.25" customHeight="1" x14ac:dyDescent="0.25">
      <c r="H511" s="33"/>
      <c r="I511" s="33"/>
    </row>
    <row r="512" spans="8:9" ht="14.25" customHeight="1" x14ac:dyDescent="0.25">
      <c r="H512" s="33"/>
      <c r="I512" s="33"/>
    </row>
    <row r="513" spans="8:9" ht="14.25" customHeight="1" x14ac:dyDescent="0.25">
      <c r="H513" s="33"/>
      <c r="I513" s="33"/>
    </row>
    <row r="514" spans="8:9" ht="14.25" customHeight="1" x14ac:dyDescent="0.25">
      <c r="H514" s="33"/>
      <c r="I514" s="33"/>
    </row>
    <row r="515" spans="8:9" ht="14.25" customHeight="1" x14ac:dyDescent="0.25">
      <c r="H515" s="33"/>
      <c r="I515" s="33"/>
    </row>
    <row r="516" spans="8:9" ht="14.25" customHeight="1" x14ac:dyDescent="0.25">
      <c r="H516" s="33"/>
      <c r="I516" s="33"/>
    </row>
    <row r="517" spans="8:9" ht="14.25" customHeight="1" x14ac:dyDescent="0.25">
      <c r="H517" s="33"/>
      <c r="I517" s="33"/>
    </row>
    <row r="518" spans="8:9" ht="14.25" customHeight="1" x14ac:dyDescent="0.25">
      <c r="H518" s="33"/>
      <c r="I518" s="33"/>
    </row>
    <row r="519" spans="8:9" ht="14.25" customHeight="1" x14ac:dyDescent="0.25">
      <c r="H519" s="33"/>
      <c r="I519" s="33"/>
    </row>
    <row r="520" spans="8:9" ht="14.25" customHeight="1" x14ac:dyDescent="0.25">
      <c r="H520" s="33"/>
      <c r="I520" s="33"/>
    </row>
    <row r="521" spans="8:9" ht="14.25" customHeight="1" x14ac:dyDescent="0.25">
      <c r="H521" s="33"/>
      <c r="I521" s="33"/>
    </row>
    <row r="522" spans="8:9" ht="14.25" customHeight="1" x14ac:dyDescent="0.25">
      <c r="H522" s="33"/>
      <c r="I522" s="33"/>
    </row>
    <row r="523" spans="8:9" ht="14.25" customHeight="1" x14ac:dyDescent="0.25">
      <c r="H523" s="33"/>
      <c r="I523" s="33"/>
    </row>
    <row r="524" spans="8:9" ht="14.25" customHeight="1" x14ac:dyDescent="0.25">
      <c r="H524" s="33"/>
      <c r="I524" s="33"/>
    </row>
    <row r="525" spans="8:9" ht="14.25" customHeight="1" x14ac:dyDescent="0.25">
      <c r="H525" s="33"/>
      <c r="I525" s="33"/>
    </row>
    <row r="526" spans="8:9" ht="14.25" customHeight="1" x14ac:dyDescent="0.25">
      <c r="H526" s="33"/>
      <c r="I526" s="33"/>
    </row>
    <row r="527" spans="8:9" ht="14.25" customHeight="1" x14ac:dyDescent="0.25">
      <c r="H527" s="33"/>
      <c r="I527" s="33"/>
    </row>
    <row r="528" spans="8:9" ht="14.25" customHeight="1" x14ac:dyDescent="0.25">
      <c r="H528" s="33"/>
      <c r="I528" s="33"/>
    </row>
    <row r="529" spans="8:9" ht="14.25" customHeight="1" x14ac:dyDescent="0.25">
      <c r="H529" s="33"/>
      <c r="I529" s="33"/>
    </row>
    <row r="530" spans="8:9" ht="14.25" customHeight="1" x14ac:dyDescent="0.25">
      <c r="H530" s="33"/>
      <c r="I530" s="33"/>
    </row>
    <row r="531" spans="8:9" ht="14.25" customHeight="1" x14ac:dyDescent="0.25">
      <c r="H531" s="33"/>
      <c r="I531" s="33"/>
    </row>
    <row r="532" spans="8:9" ht="14.25" customHeight="1" x14ac:dyDescent="0.25">
      <c r="H532" s="33"/>
      <c r="I532" s="33"/>
    </row>
    <row r="533" spans="8:9" ht="14.25" customHeight="1" x14ac:dyDescent="0.25">
      <c r="H533" s="33"/>
      <c r="I533" s="33"/>
    </row>
    <row r="534" spans="8:9" ht="14.25" customHeight="1" x14ac:dyDescent="0.25">
      <c r="H534" s="33"/>
      <c r="I534" s="33"/>
    </row>
    <row r="535" spans="8:9" ht="14.25" customHeight="1" x14ac:dyDescent="0.25">
      <c r="H535" s="33"/>
      <c r="I535" s="33"/>
    </row>
    <row r="536" spans="8:9" ht="14.25" customHeight="1" x14ac:dyDescent="0.25">
      <c r="H536" s="33"/>
      <c r="I536" s="33"/>
    </row>
    <row r="537" spans="8:9" ht="14.25" customHeight="1" x14ac:dyDescent="0.25">
      <c r="H537" s="33"/>
      <c r="I537" s="33"/>
    </row>
    <row r="538" spans="8:9" ht="14.25" customHeight="1" x14ac:dyDescent="0.25">
      <c r="H538" s="33"/>
      <c r="I538" s="33"/>
    </row>
    <row r="539" spans="8:9" ht="14.25" customHeight="1" x14ac:dyDescent="0.25">
      <c r="H539" s="33"/>
      <c r="I539" s="33"/>
    </row>
    <row r="540" spans="8:9" ht="14.25" customHeight="1" x14ac:dyDescent="0.25">
      <c r="H540" s="33"/>
      <c r="I540" s="33"/>
    </row>
    <row r="541" spans="8:9" ht="14.25" customHeight="1" x14ac:dyDescent="0.25">
      <c r="H541" s="33"/>
      <c r="I541" s="33"/>
    </row>
    <row r="542" spans="8:9" ht="14.25" customHeight="1" x14ac:dyDescent="0.25">
      <c r="H542" s="33"/>
      <c r="I542" s="33"/>
    </row>
    <row r="543" spans="8:9" ht="14.25" customHeight="1" x14ac:dyDescent="0.25">
      <c r="H543" s="33"/>
      <c r="I543" s="33"/>
    </row>
    <row r="544" spans="8:9" ht="14.25" customHeight="1" x14ac:dyDescent="0.25">
      <c r="H544" s="33"/>
      <c r="I544" s="33"/>
    </row>
    <row r="545" spans="8:9" ht="14.25" customHeight="1" x14ac:dyDescent="0.25">
      <c r="H545" s="33"/>
      <c r="I545" s="33"/>
    </row>
    <row r="546" spans="8:9" ht="14.25" customHeight="1" x14ac:dyDescent="0.25">
      <c r="H546" s="33"/>
      <c r="I546" s="33"/>
    </row>
    <row r="547" spans="8:9" ht="14.25" customHeight="1" x14ac:dyDescent="0.25">
      <c r="H547" s="33"/>
      <c r="I547" s="33"/>
    </row>
    <row r="548" spans="8:9" ht="14.25" customHeight="1" x14ac:dyDescent="0.25">
      <c r="H548" s="33"/>
      <c r="I548" s="33"/>
    </row>
    <row r="549" spans="8:9" ht="14.25" customHeight="1" x14ac:dyDescent="0.25">
      <c r="H549" s="33"/>
      <c r="I549" s="33"/>
    </row>
    <row r="550" spans="8:9" ht="14.25" customHeight="1" x14ac:dyDescent="0.25">
      <c r="H550" s="33"/>
      <c r="I550" s="33"/>
    </row>
    <row r="551" spans="8:9" ht="14.25" customHeight="1" x14ac:dyDescent="0.25">
      <c r="H551" s="33"/>
      <c r="I551" s="33"/>
    </row>
    <row r="552" spans="8:9" ht="14.25" customHeight="1" x14ac:dyDescent="0.25">
      <c r="H552" s="33"/>
      <c r="I552" s="33"/>
    </row>
    <row r="553" spans="8:9" ht="14.25" customHeight="1" x14ac:dyDescent="0.25">
      <c r="H553" s="33"/>
      <c r="I553" s="33"/>
    </row>
    <row r="554" spans="8:9" ht="14.25" customHeight="1" x14ac:dyDescent="0.25">
      <c r="H554" s="33"/>
      <c r="I554" s="33"/>
    </row>
    <row r="555" spans="8:9" ht="14.25" customHeight="1" x14ac:dyDescent="0.25">
      <c r="H555" s="33"/>
      <c r="I555" s="33"/>
    </row>
    <row r="556" spans="8:9" ht="14.25" customHeight="1" x14ac:dyDescent="0.25">
      <c r="H556" s="33"/>
      <c r="I556" s="33"/>
    </row>
    <row r="557" spans="8:9" ht="14.25" customHeight="1" x14ac:dyDescent="0.25">
      <c r="H557" s="33"/>
      <c r="I557" s="33"/>
    </row>
    <row r="558" spans="8:9" ht="14.25" customHeight="1" x14ac:dyDescent="0.25">
      <c r="H558" s="33"/>
      <c r="I558" s="33"/>
    </row>
    <row r="559" spans="8:9" ht="14.25" customHeight="1" x14ac:dyDescent="0.25">
      <c r="H559" s="33"/>
      <c r="I559" s="33"/>
    </row>
    <row r="560" spans="8:9" ht="14.25" customHeight="1" x14ac:dyDescent="0.25">
      <c r="H560" s="33"/>
      <c r="I560" s="33"/>
    </row>
    <row r="561" spans="8:9" ht="14.25" customHeight="1" x14ac:dyDescent="0.25">
      <c r="H561" s="33"/>
      <c r="I561" s="33"/>
    </row>
    <row r="562" spans="8:9" ht="14.25" customHeight="1" x14ac:dyDescent="0.25">
      <c r="H562" s="33"/>
      <c r="I562" s="33"/>
    </row>
    <row r="563" spans="8:9" ht="14.25" customHeight="1" x14ac:dyDescent="0.25">
      <c r="H563" s="33"/>
      <c r="I563" s="33"/>
    </row>
    <row r="564" spans="8:9" ht="14.25" customHeight="1" x14ac:dyDescent="0.25">
      <c r="H564" s="33"/>
      <c r="I564" s="33"/>
    </row>
    <row r="565" spans="8:9" ht="14.25" customHeight="1" x14ac:dyDescent="0.25">
      <c r="H565" s="33"/>
      <c r="I565" s="33"/>
    </row>
    <row r="566" spans="8:9" ht="14.25" customHeight="1" x14ac:dyDescent="0.25">
      <c r="H566" s="33"/>
      <c r="I566" s="33"/>
    </row>
    <row r="567" spans="8:9" ht="14.25" customHeight="1" x14ac:dyDescent="0.25">
      <c r="H567" s="33"/>
      <c r="I567" s="33"/>
    </row>
    <row r="568" spans="8:9" ht="14.25" customHeight="1" x14ac:dyDescent="0.25">
      <c r="H568" s="33"/>
      <c r="I568" s="33"/>
    </row>
    <row r="569" spans="8:9" ht="14.25" customHeight="1" x14ac:dyDescent="0.25">
      <c r="H569" s="33"/>
      <c r="I569" s="33"/>
    </row>
    <row r="570" spans="8:9" ht="14.25" customHeight="1" x14ac:dyDescent="0.25">
      <c r="H570" s="33"/>
      <c r="I570" s="33"/>
    </row>
    <row r="571" spans="8:9" ht="14.25" customHeight="1" x14ac:dyDescent="0.25">
      <c r="H571" s="33"/>
      <c r="I571" s="33"/>
    </row>
    <row r="572" spans="8:9" ht="14.25" customHeight="1" x14ac:dyDescent="0.25">
      <c r="H572" s="33"/>
      <c r="I572" s="33"/>
    </row>
    <row r="573" spans="8:9" ht="14.25" customHeight="1" x14ac:dyDescent="0.25">
      <c r="H573" s="33"/>
      <c r="I573" s="33"/>
    </row>
    <row r="574" spans="8:9" ht="14.25" customHeight="1" x14ac:dyDescent="0.25">
      <c r="H574" s="33"/>
      <c r="I574" s="33"/>
    </row>
    <row r="575" spans="8:9" ht="14.25" customHeight="1" x14ac:dyDescent="0.25">
      <c r="H575" s="33"/>
      <c r="I575" s="33"/>
    </row>
    <row r="576" spans="8:9" ht="14.25" customHeight="1" x14ac:dyDescent="0.25">
      <c r="H576" s="33"/>
      <c r="I576" s="33"/>
    </row>
    <row r="577" spans="8:9" ht="14.25" customHeight="1" x14ac:dyDescent="0.25">
      <c r="H577" s="33"/>
      <c r="I577" s="33"/>
    </row>
    <row r="578" spans="8:9" ht="14.25" customHeight="1" x14ac:dyDescent="0.25">
      <c r="H578" s="33"/>
      <c r="I578" s="33"/>
    </row>
    <row r="579" spans="8:9" ht="14.25" customHeight="1" x14ac:dyDescent="0.25">
      <c r="H579" s="33"/>
      <c r="I579" s="33"/>
    </row>
    <row r="580" spans="8:9" ht="14.25" customHeight="1" x14ac:dyDescent="0.25">
      <c r="H580" s="33"/>
      <c r="I580" s="33"/>
    </row>
    <row r="581" spans="8:9" ht="14.25" customHeight="1" x14ac:dyDescent="0.25">
      <c r="H581" s="33"/>
      <c r="I581" s="33"/>
    </row>
    <row r="582" spans="8:9" ht="14.25" customHeight="1" x14ac:dyDescent="0.25">
      <c r="H582" s="33"/>
      <c r="I582" s="33"/>
    </row>
    <row r="583" spans="8:9" ht="14.25" customHeight="1" x14ac:dyDescent="0.25">
      <c r="H583" s="33"/>
      <c r="I583" s="33"/>
    </row>
    <row r="584" spans="8:9" ht="14.25" customHeight="1" x14ac:dyDescent="0.25">
      <c r="H584" s="33"/>
      <c r="I584" s="33"/>
    </row>
    <row r="585" spans="8:9" ht="14.25" customHeight="1" x14ac:dyDescent="0.25">
      <c r="H585" s="33"/>
      <c r="I585" s="33"/>
    </row>
    <row r="586" spans="8:9" ht="14.25" customHeight="1" x14ac:dyDescent="0.25">
      <c r="H586" s="33"/>
      <c r="I586" s="33"/>
    </row>
    <row r="587" spans="8:9" ht="14.25" customHeight="1" x14ac:dyDescent="0.25">
      <c r="H587" s="33"/>
      <c r="I587" s="33"/>
    </row>
    <row r="588" spans="8:9" ht="14.25" customHeight="1" x14ac:dyDescent="0.25">
      <c r="H588" s="33"/>
      <c r="I588" s="33"/>
    </row>
    <row r="589" spans="8:9" ht="14.25" customHeight="1" x14ac:dyDescent="0.25">
      <c r="H589" s="33"/>
      <c r="I589" s="33"/>
    </row>
    <row r="590" spans="8:9" ht="14.25" customHeight="1" x14ac:dyDescent="0.25">
      <c r="H590" s="33"/>
      <c r="I590" s="33"/>
    </row>
    <row r="591" spans="8:9" ht="14.25" customHeight="1" x14ac:dyDescent="0.25">
      <c r="H591" s="33"/>
      <c r="I591" s="33"/>
    </row>
    <row r="592" spans="8:9" ht="14.25" customHeight="1" x14ac:dyDescent="0.25">
      <c r="H592" s="33"/>
      <c r="I592" s="33"/>
    </row>
    <row r="593" spans="8:9" ht="14.25" customHeight="1" x14ac:dyDescent="0.25">
      <c r="H593" s="33"/>
      <c r="I593" s="33"/>
    </row>
    <row r="594" spans="8:9" ht="14.25" customHeight="1" x14ac:dyDescent="0.25">
      <c r="H594" s="33"/>
      <c r="I594" s="33"/>
    </row>
    <row r="595" spans="8:9" ht="14.25" customHeight="1" x14ac:dyDescent="0.25">
      <c r="H595" s="33"/>
      <c r="I595" s="33"/>
    </row>
    <row r="596" spans="8:9" ht="14.25" customHeight="1" x14ac:dyDescent="0.25">
      <c r="H596" s="33"/>
      <c r="I596" s="33"/>
    </row>
    <row r="597" spans="8:9" ht="14.25" customHeight="1" x14ac:dyDescent="0.25">
      <c r="H597" s="33"/>
      <c r="I597" s="33"/>
    </row>
    <row r="598" spans="8:9" ht="14.25" customHeight="1" x14ac:dyDescent="0.25">
      <c r="H598" s="33"/>
      <c r="I598" s="33"/>
    </row>
    <row r="599" spans="8:9" ht="14.25" customHeight="1" x14ac:dyDescent="0.25">
      <c r="H599" s="33"/>
      <c r="I599" s="33"/>
    </row>
    <row r="600" spans="8:9" ht="14.25" customHeight="1" x14ac:dyDescent="0.25">
      <c r="H600" s="33"/>
      <c r="I600" s="33"/>
    </row>
    <row r="601" spans="8:9" ht="14.25" customHeight="1" x14ac:dyDescent="0.25">
      <c r="H601" s="33"/>
      <c r="I601" s="33"/>
    </row>
    <row r="602" spans="8:9" ht="14.25" customHeight="1" x14ac:dyDescent="0.25">
      <c r="H602" s="33"/>
      <c r="I602" s="33"/>
    </row>
    <row r="603" spans="8:9" ht="14.25" customHeight="1" x14ac:dyDescent="0.25">
      <c r="H603" s="33"/>
      <c r="I603" s="33"/>
    </row>
    <row r="604" spans="8:9" ht="14.25" customHeight="1" x14ac:dyDescent="0.25">
      <c r="H604" s="33"/>
      <c r="I604" s="33"/>
    </row>
    <row r="605" spans="8:9" ht="14.25" customHeight="1" x14ac:dyDescent="0.25">
      <c r="H605" s="33"/>
      <c r="I605" s="33"/>
    </row>
    <row r="606" spans="8:9" ht="14.25" customHeight="1" x14ac:dyDescent="0.25">
      <c r="H606" s="33"/>
      <c r="I606" s="33"/>
    </row>
    <row r="607" spans="8:9" ht="14.25" customHeight="1" x14ac:dyDescent="0.25">
      <c r="H607" s="33"/>
      <c r="I607" s="33"/>
    </row>
    <row r="608" spans="8:9" ht="14.25" customHeight="1" x14ac:dyDescent="0.25">
      <c r="H608" s="33"/>
      <c r="I608" s="33"/>
    </row>
    <row r="609" spans="8:9" ht="14.25" customHeight="1" x14ac:dyDescent="0.25">
      <c r="H609" s="33"/>
      <c r="I609" s="33"/>
    </row>
    <row r="610" spans="8:9" ht="14.25" customHeight="1" x14ac:dyDescent="0.25">
      <c r="H610" s="33"/>
      <c r="I610" s="33"/>
    </row>
    <row r="611" spans="8:9" ht="14.25" customHeight="1" x14ac:dyDescent="0.25">
      <c r="H611" s="33"/>
      <c r="I611" s="33"/>
    </row>
    <row r="612" spans="8:9" ht="14.25" customHeight="1" x14ac:dyDescent="0.25">
      <c r="H612" s="33"/>
      <c r="I612" s="33"/>
    </row>
    <row r="613" spans="8:9" ht="14.25" customHeight="1" x14ac:dyDescent="0.25">
      <c r="H613" s="33"/>
      <c r="I613" s="33"/>
    </row>
    <row r="614" spans="8:9" ht="14.25" customHeight="1" x14ac:dyDescent="0.25">
      <c r="H614" s="33"/>
      <c r="I614" s="33"/>
    </row>
    <row r="615" spans="8:9" ht="14.25" customHeight="1" x14ac:dyDescent="0.25">
      <c r="H615" s="33"/>
      <c r="I615" s="33"/>
    </row>
    <row r="616" spans="8:9" ht="14.25" customHeight="1" x14ac:dyDescent="0.25">
      <c r="H616" s="33"/>
      <c r="I616" s="33"/>
    </row>
    <row r="617" spans="8:9" ht="14.25" customHeight="1" x14ac:dyDescent="0.25">
      <c r="H617" s="33"/>
      <c r="I617" s="33"/>
    </row>
    <row r="618" spans="8:9" ht="14.25" customHeight="1" x14ac:dyDescent="0.25">
      <c r="H618" s="33"/>
      <c r="I618" s="33"/>
    </row>
    <row r="619" spans="8:9" ht="14.25" customHeight="1" x14ac:dyDescent="0.25">
      <c r="H619" s="33"/>
      <c r="I619" s="33"/>
    </row>
    <row r="620" spans="8:9" ht="14.25" customHeight="1" x14ac:dyDescent="0.25">
      <c r="H620" s="33"/>
      <c r="I620" s="33"/>
    </row>
    <row r="621" spans="8:9" ht="14.25" customHeight="1" x14ac:dyDescent="0.25">
      <c r="H621" s="33"/>
      <c r="I621" s="33"/>
    </row>
    <row r="622" spans="8:9" ht="14.25" customHeight="1" x14ac:dyDescent="0.25">
      <c r="H622" s="33"/>
      <c r="I622" s="33"/>
    </row>
    <row r="623" spans="8:9" ht="14.25" customHeight="1" x14ac:dyDescent="0.25">
      <c r="H623" s="33"/>
      <c r="I623" s="33"/>
    </row>
    <row r="624" spans="8:9" ht="14.25" customHeight="1" x14ac:dyDescent="0.25">
      <c r="H624" s="33"/>
      <c r="I624" s="33"/>
    </row>
    <row r="625" spans="8:9" ht="14.25" customHeight="1" x14ac:dyDescent="0.25">
      <c r="H625" s="33"/>
      <c r="I625" s="33"/>
    </row>
    <row r="626" spans="8:9" ht="14.25" customHeight="1" x14ac:dyDescent="0.25">
      <c r="H626" s="33"/>
      <c r="I626" s="33"/>
    </row>
    <row r="627" spans="8:9" ht="14.25" customHeight="1" x14ac:dyDescent="0.25">
      <c r="H627" s="33"/>
      <c r="I627" s="33"/>
    </row>
    <row r="628" spans="8:9" ht="14.25" customHeight="1" x14ac:dyDescent="0.25">
      <c r="H628" s="33"/>
      <c r="I628" s="33"/>
    </row>
    <row r="629" spans="8:9" ht="14.25" customHeight="1" x14ac:dyDescent="0.25">
      <c r="H629" s="33"/>
      <c r="I629" s="33"/>
    </row>
    <row r="630" spans="8:9" ht="14.25" customHeight="1" x14ac:dyDescent="0.25">
      <c r="H630" s="33"/>
      <c r="I630" s="33"/>
    </row>
    <row r="631" spans="8:9" ht="14.25" customHeight="1" x14ac:dyDescent="0.25">
      <c r="H631" s="33"/>
      <c r="I631" s="33"/>
    </row>
    <row r="632" spans="8:9" ht="14.25" customHeight="1" x14ac:dyDescent="0.25">
      <c r="H632" s="33"/>
      <c r="I632" s="33"/>
    </row>
    <row r="633" spans="8:9" ht="14.25" customHeight="1" x14ac:dyDescent="0.25">
      <c r="H633" s="33"/>
      <c r="I633" s="33"/>
    </row>
    <row r="634" spans="8:9" ht="14.25" customHeight="1" x14ac:dyDescent="0.25">
      <c r="H634" s="33"/>
      <c r="I634" s="33"/>
    </row>
    <row r="635" spans="8:9" ht="14.25" customHeight="1" x14ac:dyDescent="0.25">
      <c r="H635" s="33"/>
      <c r="I635" s="33"/>
    </row>
    <row r="636" spans="8:9" ht="14.25" customHeight="1" x14ac:dyDescent="0.25">
      <c r="H636" s="33"/>
      <c r="I636" s="33"/>
    </row>
    <row r="637" spans="8:9" ht="14.25" customHeight="1" x14ac:dyDescent="0.25">
      <c r="H637" s="33"/>
      <c r="I637" s="33"/>
    </row>
    <row r="638" spans="8:9" ht="14.25" customHeight="1" x14ac:dyDescent="0.25">
      <c r="H638" s="33"/>
      <c r="I638" s="33"/>
    </row>
    <row r="639" spans="8:9" ht="14.25" customHeight="1" x14ac:dyDescent="0.25">
      <c r="H639" s="33"/>
      <c r="I639" s="33"/>
    </row>
    <row r="640" spans="8:9" ht="14.25" customHeight="1" x14ac:dyDescent="0.25">
      <c r="H640" s="33"/>
      <c r="I640" s="33"/>
    </row>
    <row r="641" spans="8:9" ht="14.25" customHeight="1" x14ac:dyDescent="0.25">
      <c r="H641" s="33"/>
      <c r="I641" s="33"/>
    </row>
    <row r="642" spans="8:9" ht="14.25" customHeight="1" x14ac:dyDescent="0.25">
      <c r="H642" s="33"/>
      <c r="I642" s="33"/>
    </row>
    <row r="643" spans="8:9" ht="14.25" customHeight="1" x14ac:dyDescent="0.25">
      <c r="H643" s="33"/>
      <c r="I643" s="33"/>
    </row>
    <row r="644" spans="8:9" ht="14.25" customHeight="1" x14ac:dyDescent="0.25">
      <c r="H644" s="33"/>
      <c r="I644" s="33"/>
    </row>
    <row r="645" spans="8:9" ht="14.25" customHeight="1" x14ac:dyDescent="0.25">
      <c r="H645" s="33"/>
      <c r="I645" s="33"/>
    </row>
    <row r="646" spans="8:9" ht="14.25" customHeight="1" x14ac:dyDescent="0.25">
      <c r="H646" s="33"/>
      <c r="I646" s="33"/>
    </row>
    <row r="647" spans="8:9" ht="14.25" customHeight="1" x14ac:dyDescent="0.25">
      <c r="H647" s="33"/>
      <c r="I647" s="33"/>
    </row>
    <row r="648" spans="8:9" ht="14.25" customHeight="1" x14ac:dyDescent="0.25">
      <c r="H648" s="33"/>
      <c r="I648" s="33"/>
    </row>
    <row r="649" spans="8:9" ht="14.25" customHeight="1" x14ac:dyDescent="0.25">
      <c r="H649" s="33"/>
      <c r="I649" s="33"/>
    </row>
    <row r="650" spans="8:9" ht="14.25" customHeight="1" x14ac:dyDescent="0.25">
      <c r="H650" s="33"/>
      <c r="I650" s="33"/>
    </row>
    <row r="651" spans="8:9" ht="14.25" customHeight="1" x14ac:dyDescent="0.25">
      <c r="H651" s="33"/>
      <c r="I651" s="33"/>
    </row>
    <row r="652" spans="8:9" ht="14.25" customHeight="1" x14ac:dyDescent="0.25">
      <c r="H652" s="33"/>
      <c r="I652" s="33"/>
    </row>
    <row r="653" spans="8:9" ht="14.25" customHeight="1" x14ac:dyDescent="0.25">
      <c r="H653" s="33"/>
      <c r="I653" s="33"/>
    </row>
    <row r="654" spans="8:9" ht="14.25" customHeight="1" x14ac:dyDescent="0.25">
      <c r="H654" s="33"/>
      <c r="I654" s="33"/>
    </row>
    <row r="655" spans="8:9" ht="14.25" customHeight="1" x14ac:dyDescent="0.25">
      <c r="H655" s="33"/>
      <c r="I655" s="33"/>
    </row>
    <row r="656" spans="8:9" ht="14.25" customHeight="1" x14ac:dyDescent="0.25">
      <c r="H656" s="33"/>
      <c r="I656" s="33"/>
    </row>
    <row r="657" spans="8:9" ht="14.25" customHeight="1" x14ac:dyDescent="0.25">
      <c r="H657" s="33"/>
      <c r="I657" s="33"/>
    </row>
    <row r="658" spans="8:9" ht="14.25" customHeight="1" x14ac:dyDescent="0.25">
      <c r="H658" s="33"/>
      <c r="I658" s="33"/>
    </row>
    <row r="659" spans="8:9" ht="14.25" customHeight="1" x14ac:dyDescent="0.25">
      <c r="H659" s="33"/>
      <c r="I659" s="33"/>
    </row>
    <row r="660" spans="8:9" ht="14.25" customHeight="1" x14ac:dyDescent="0.25">
      <c r="H660" s="33"/>
      <c r="I660" s="33"/>
    </row>
    <row r="661" spans="8:9" ht="14.25" customHeight="1" x14ac:dyDescent="0.25">
      <c r="H661" s="33"/>
      <c r="I661" s="33"/>
    </row>
    <row r="662" spans="8:9" ht="14.25" customHeight="1" x14ac:dyDescent="0.25">
      <c r="H662" s="33"/>
      <c r="I662" s="33"/>
    </row>
    <row r="663" spans="8:9" ht="14.25" customHeight="1" x14ac:dyDescent="0.25">
      <c r="H663" s="33"/>
      <c r="I663" s="33"/>
    </row>
    <row r="664" spans="8:9" ht="14.25" customHeight="1" x14ac:dyDescent="0.25">
      <c r="H664" s="33"/>
      <c r="I664" s="33"/>
    </row>
    <row r="665" spans="8:9" ht="14.25" customHeight="1" x14ac:dyDescent="0.25">
      <c r="H665" s="33"/>
      <c r="I665" s="33"/>
    </row>
    <row r="666" spans="8:9" ht="14.25" customHeight="1" x14ac:dyDescent="0.25">
      <c r="H666" s="33"/>
      <c r="I666" s="33"/>
    </row>
    <row r="667" spans="8:9" ht="14.25" customHeight="1" x14ac:dyDescent="0.25">
      <c r="H667" s="33"/>
      <c r="I667" s="33"/>
    </row>
    <row r="668" spans="8:9" ht="14.25" customHeight="1" x14ac:dyDescent="0.25">
      <c r="H668" s="33"/>
      <c r="I668" s="33"/>
    </row>
    <row r="669" spans="8:9" ht="14.25" customHeight="1" x14ac:dyDescent="0.25">
      <c r="H669" s="33"/>
      <c r="I669" s="33"/>
    </row>
    <row r="670" spans="8:9" ht="14.25" customHeight="1" x14ac:dyDescent="0.25">
      <c r="H670" s="33"/>
      <c r="I670" s="33"/>
    </row>
    <row r="671" spans="8:9" ht="14.25" customHeight="1" x14ac:dyDescent="0.25">
      <c r="H671" s="33"/>
      <c r="I671" s="33"/>
    </row>
    <row r="672" spans="8:9" ht="14.25" customHeight="1" x14ac:dyDescent="0.25">
      <c r="H672" s="33"/>
      <c r="I672" s="33"/>
    </row>
    <row r="673" spans="8:9" ht="14.25" customHeight="1" x14ac:dyDescent="0.25">
      <c r="H673" s="33"/>
      <c r="I673" s="33"/>
    </row>
    <row r="674" spans="8:9" ht="14.25" customHeight="1" x14ac:dyDescent="0.25">
      <c r="H674" s="33"/>
      <c r="I674" s="33"/>
    </row>
    <row r="675" spans="8:9" ht="14.25" customHeight="1" x14ac:dyDescent="0.25">
      <c r="H675" s="33"/>
      <c r="I675" s="33"/>
    </row>
    <row r="676" spans="8:9" ht="14.25" customHeight="1" x14ac:dyDescent="0.25">
      <c r="H676" s="33"/>
      <c r="I676" s="33"/>
    </row>
    <row r="677" spans="8:9" ht="14.25" customHeight="1" x14ac:dyDescent="0.25">
      <c r="H677" s="33"/>
      <c r="I677" s="33"/>
    </row>
    <row r="678" spans="8:9" ht="14.25" customHeight="1" x14ac:dyDescent="0.25">
      <c r="H678" s="33"/>
      <c r="I678" s="33"/>
    </row>
    <row r="679" spans="8:9" ht="14.25" customHeight="1" x14ac:dyDescent="0.25">
      <c r="H679" s="33"/>
      <c r="I679" s="33"/>
    </row>
    <row r="680" spans="8:9" ht="14.25" customHeight="1" x14ac:dyDescent="0.25">
      <c r="H680" s="33"/>
      <c r="I680" s="33"/>
    </row>
    <row r="681" spans="8:9" ht="14.25" customHeight="1" x14ac:dyDescent="0.25">
      <c r="H681" s="33"/>
      <c r="I681" s="33"/>
    </row>
    <row r="682" spans="8:9" ht="14.25" customHeight="1" x14ac:dyDescent="0.25">
      <c r="H682" s="33"/>
      <c r="I682" s="33"/>
    </row>
    <row r="683" spans="8:9" ht="14.25" customHeight="1" x14ac:dyDescent="0.25">
      <c r="H683" s="33"/>
      <c r="I683" s="33"/>
    </row>
    <row r="684" spans="8:9" ht="14.25" customHeight="1" x14ac:dyDescent="0.25">
      <c r="H684" s="33"/>
      <c r="I684" s="33"/>
    </row>
    <row r="685" spans="8:9" ht="14.25" customHeight="1" x14ac:dyDescent="0.25">
      <c r="H685" s="33"/>
      <c r="I685" s="33"/>
    </row>
    <row r="686" spans="8:9" ht="14.25" customHeight="1" x14ac:dyDescent="0.25">
      <c r="H686" s="33"/>
      <c r="I686" s="33"/>
    </row>
    <row r="687" spans="8:9" ht="14.25" customHeight="1" x14ac:dyDescent="0.25">
      <c r="H687" s="33"/>
      <c r="I687" s="33"/>
    </row>
    <row r="688" spans="8:9" ht="14.25" customHeight="1" x14ac:dyDescent="0.25">
      <c r="H688" s="33"/>
      <c r="I688" s="33"/>
    </row>
    <row r="689" spans="8:9" ht="14.25" customHeight="1" x14ac:dyDescent="0.25">
      <c r="H689" s="33"/>
      <c r="I689" s="33"/>
    </row>
    <row r="690" spans="8:9" ht="14.25" customHeight="1" x14ac:dyDescent="0.25">
      <c r="H690" s="33"/>
      <c r="I690" s="33"/>
    </row>
    <row r="691" spans="8:9" ht="14.25" customHeight="1" x14ac:dyDescent="0.25">
      <c r="H691" s="33"/>
      <c r="I691" s="33"/>
    </row>
    <row r="692" spans="8:9" ht="14.25" customHeight="1" x14ac:dyDescent="0.25">
      <c r="H692" s="33"/>
      <c r="I692" s="33"/>
    </row>
    <row r="693" spans="8:9" ht="14.25" customHeight="1" x14ac:dyDescent="0.25">
      <c r="H693" s="33"/>
      <c r="I693" s="33"/>
    </row>
    <row r="694" spans="8:9" ht="14.25" customHeight="1" x14ac:dyDescent="0.25">
      <c r="H694" s="33"/>
      <c r="I694" s="33"/>
    </row>
    <row r="695" spans="8:9" ht="14.25" customHeight="1" x14ac:dyDescent="0.25">
      <c r="H695" s="33"/>
      <c r="I695" s="33"/>
    </row>
    <row r="696" spans="8:9" ht="14.25" customHeight="1" x14ac:dyDescent="0.25">
      <c r="H696" s="33"/>
      <c r="I696" s="33"/>
    </row>
    <row r="697" spans="8:9" ht="14.25" customHeight="1" x14ac:dyDescent="0.25">
      <c r="H697" s="33"/>
      <c r="I697" s="33"/>
    </row>
    <row r="698" spans="8:9" ht="14.25" customHeight="1" x14ac:dyDescent="0.25">
      <c r="H698" s="33"/>
      <c r="I698" s="33"/>
    </row>
    <row r="699" spans="8:9" ht="14.25" customHeight="1" x14ac:dyDescent="0.25">
      <c r="H699" s="33"/>
      <c r="I699" s="33"/>
    </row>
    <row r="700" spans="8:9" ht="14.25" customHeight="1" x14ac:dyDescent="0.25">
      <c r="H700" s="33"/>
      <c r="I700" s="33"/>
    </row>
    <row r="701" spans="8:9" ht="14.25" customHeight="1" x14ac:dyDescent="0.25">
      <c r="H701" s="33"/>
      <c r="I701" s="33"/>
    </row>
    <row r="702" spans="8:9" ht="14.25" customHeight="1" x14ac:dyDescent="0.25">
      <c r="H702" s="33"/>
      <c r="I702" s="33"/>
    </row>
    <row r="703" spans="8:9" ht="14.25" customHeight="1" x14ac:dyDescent="0.25">
      <c r="H703" s="33"/>
      <c r="I703" s="33"/>
    </row>
    <row r="704" spans="8:9" ht="14.25" customHeight="1" x14ac:dyDescent="0.25">
      <c r="H704" s="33"/>
      <c r="I704" s="33"/>
    </row>
    <row r="705" spans="8:9" ht="14.25" customHeight="1" x14ac:dyDescent="0.25">
      <c r="H705" s="33"/>
      <c r="I705" s="33"/>
    </row>
    <row r="706" spans="8:9" ht="14.25" customHeight="1" x14ac:dyDescent="0.25">
      <c r="H706" s="33"/>
      <c r="I706" s="33"/>
    </row>
    <row r="707" spans="8:9" ht="14.25" customHeight="1" x14ac:dyDescent="0.25">
      <c r="H707" s="33"/>
      <c r="I707" s="33"/>
    </row>
    <row r="708" spans="8:9" ht="14.25" customHeight="1" x14ac:dyDescent="0.25">
      <c r="H708" s="33"/>
      <c r="I708" s="33"/>
    </row>
    <row r="709" spans="8:9" ht="14.25" customHeight="1" x14ac:dyDescent="0.25">
      <c r="H709" s="33"/>
      <c r="I709" s="33"/>
    </row>
    <row r="710" spans="8:9" ht="14.25" customHeight="1" x14ac:dyDescent="0.25">
      <c r="H710" s="33"/>
      <c r="I710" s="33"/>
    </row>
    <row r="711" spans="8:9" ht="14.25" customHeight="1" x14ac:dyDescent="0.25">
      <c r="H711" s="33"/>
      <c r="I711" s="33"/>
    </row>
    <row r="712" spans="8:9" ht="14.25" customHeight="1" x14ac:dyDescent="0.25">
      <c r="H712" s="33"/>
      <c r="I712" s="33"/>
    </row>
    <row r="713" spans="8:9" ht="14.25" customHeight="1" x14ac:dyDescent="0.25">
      <c r="H713" s="33"/>
      <c r="I713" s="33"/>
    </row>
    <row r="714" spans="8:9" ht="14.25" customHeight="1" x14ac:dyDescent="0.25">
      <c r="H714" s="33"/>
      <c r="I714" s="33"/>
    </row>
    <row r="715" spans="8:9" ht="14.25" customHeight="1" x14ac:dyDescent="0.25">
      <c r="H715" s="33"/>
      <c r="I715" s="33"/>
    </row>
    <row r="716" spans="8:9" ht="14.25" customHeight="1" x14ac:dyDescent="0.25">
      <c r="H716" s="33"/>
      <c r="I716" s="33"/>
    </row>
    <row r="717" spans="8:9" ht="14.25" customHeight="1" x14ac:dyDescent="0.25">
      <c r="H717" s="33"/>
      <c r="I717" s="33"/>
    </row>
    <row r="718" spans="8:9" ht="14.25" customHeight="1" x14ac:dyDescent="0.25">
      <c r="H718" s="33"/>
      <c r="I718" s="33"/>
    </row>
    <row r="719" spans="8:9" ht="14.25" customHeight="1" x14ac:dyDescent="0.25">
      <c r="H719" s="33"/>
      <c r="I719" s="33"/>
    </row>
    <row r="720" spans="8:9" ht="14.25" customHeight="1" x14ac:dyDescent="0.25">
      <c r="H720" s="33"/>
      <c r="I720" s="33"/>
    </row>
    <row r="721" spans="8:9" ht="14.25" customHeight="1" x14ac:dyDescent="0.25">
      <c r="H721" s="33"/>
      <c r="I721" s="33"/>
    </row>
    <row r="722" spans="8:9" ht="14.25" customHeight="1" x14ac:dyDescent="0.25">
      <c r="H722" s="33"/>
      <c r="I722" s="33"/>
    </row>
    <row r="723" spans="8:9" ht="14.25" customHeight="1" x14ac:dyDescent="0.25">
      <c r="H723" s="33"/>
      <c r="I723" s="33"/>
    </row>
    <row r="724" spans="8:9" ht="14.25" customHeight="1" x14ac:dyDescent="0.25">
      <c r="H724" s="33"/>
      <c r="I724" s="33"/>
    </row>
    <row r="725" spans="8:9" ht="14.25" customHeight="1" x14ac:dyDescent="0.25">
      <c r="H725" s="33"/>
      <c r="I725" s="33"/>
    </row>
    <row r="726" spans="8:9" ht="14.25" customHeight="1" x14ac:dyDescent="0.25">
      <c r="H726" s="33"/>
      <c r="I726" s="33"/>
    </row>
    <row r="727" spans="8:9" ht="14.25" customHeight="1" x14ac:dyDescent="0.25">
      <c r="H727" s="33"/>
      <c r="I727" s="33"/>
    </row>
    <row r="728" spans="8:9" ht="14.25" customHeight="1" x14ac:dyDescent="0.25">
      <c r="H728" s="33"/>
      <c r="I728" s="33"/>
    </row>
    <row r="729" spans="8:9" ht="14.25" customHeight="1" x14ac:dyDescent="0.25">
      <c r="H729" s="33"/>
      <c r="I729" s="33"/>
    </row>
    <row r="730" spans="8:9" ht="14.25" customHeight="1" x14ac:dyDescent="0.25">
      <c r="H730" s="33"/>
      <c r="I730" s="33"/>
    </row>
    <row r="731" spans="8:9" ht="14.25" customHeight="1" x14ac:dyDescent="0.25">
      <c r="H731" s="33"/>
      <c r="I731" s="33"/>
    </row>
    <row r="732" spans="8:9" ht="14.25" customHeight="1" x14ac:dyDescent="0.25">
      <c r="H732" s="33"/>
      <c r="I732" s="33"/>
    </row>
    <row r="733" spans="8:9" ht="14.25" customHeight="1" x14ac:dyDescent="0.25">
      <c r="H733" s="33"/>
      <c r="I733" s="33"/>
    </row>
    <row r="734" spans="8:9" ht="14.25" customHeight="1" x14ac:dyDescent="0.25">
      <c r="H734" s="33"/>
      <c r="I734" s="33"/>
    </row>
    <row r="735" spans="8:9" ht="14.25" customHeight="1" x14ac:dyDescent="0.25">
      <c r="H735" s="33"/>
      <c r="I735" s="33"/>
    </row>
    <row r="736" spans="8:9" ht="14.25" customHeight="1" x14ac:dyDescent="0.25">
      <c r="H736" s="33"/>
      <c r="I736" s="33"/>
    </row>
    <row r="737" spans="8:9" ht="14.25" customHeight="1" x14ac:dyDescent="0.25">
      <c r="H737" s="33"/>
      <c r="I737" s="33"/>
    </row>
    <row r="738" spans="8:9" ht="14.25" customHeight="1" x14ac:dyDescent="0.25">
      <c r="H738" s="33"/>
      <c r="I738" s="33"/>
    </row>
    <row r="739" spans="8:9" ht="14.25" customHeight="1" x14ac:dyDescent="0.25">
      <c r="H739" s="33"/>
      <c r="I739" s="33"/>
    </row>
    <row r="740" spans="8:9" ht="14.25" customHeight="1" x14ac:dyDescent="0.25">
      <c r="H740" s="33"/>
      <c r="I740" s="33"/>
    </row>
    <row r="741" spans="8:9" ht="14.25" customHeight="1" x14ac:dyDescent="0.25">
      <c r="H741" s="33"/>
      <c r="I741" s="33"/>
    </row>
    <row r="742" spans="8:9" ht="14.25" customHeight="1" x14ac:dyDescent="0.25">
      <c r="H742" s="33"/>
      <c r="I742" s="33"/>
    </row>
    <row r="743" spans="8:9" ht="14.25" customHeight="1" x14ac:dyDescent="0.25">
      <c r="H743" s="33"/>
      <c r="I743" s="33"/>
    </row>
    <row r="744" spans="8:9" ht="14.25" customHeight="1" x14ac:dyDescent="0.25">
      <c r="H744" s="33"/>
      <c r="I744" s="33"/>
    </row>
    <row r="745" spans="8:9" ht="14.25" customHeight="1" x14ac:dyDescent="0.25">
      <c r="H745" s="33"/>
      <c r="I745" s="33"/>
    </row>
    <row r="746" spans="8:9" ht="14.25" customHeight="1" x14ac:dyDescent="0.25">
      <c r="H746" s="33"/>
      <c r="I746" s="33"/>
    </row>
    <row r="747" spans="8:9" ht="14.25" customHeight="1" x14ac:dyDescent="0.25">
      <c r="H747" s="33"/>
      <c r="I747" s="33"/>
    </row>
    <row r="748" spans="8:9" ht="14.25" customHeight="1" x14ac:dyDescent="0.25">
      <c r="H748" s="33"/>
      <c r="I748" s="33"/>
    </row>
    <row r="749" spans="8:9" ht="14.25" customHeight="1" x14ac:dyDescent="0.25">
      <c r="H749" s="33"/>
      <c r="I749" s="33"/>
    </row>
    <row r="750" spans="8:9" ht="14.25" customHeight="1" x14ac:dyDescent="0.25">
      <c r="H750" s="33"/>
      <c r="I750" s="33"/>
    </row>
    <row r="751" spans="8:9" ht="14.25" customHeight="1" x14ac:dyDescent="0.25">
      <c r="H751" s="33"/>
      <c r="I751" s="33"/>
    </row>
    <row r="752" spans="8:9" ht="14.25" customHeight="1" x14ac:dyDescent="0.25">
      <c r="H752" s="33"/>
      <c r="I752" s="33"/>
    </row>
    <row r="753" spans="8:9" ht="14.25" customHeight="1" x14ac:dyDescent="0.25">
      <c r="H753" s="33"/>
      <c r="I753" s="33"/>
    </row>
    <row r="754" spans="8:9" ht="14.25" customHeight="1" x14ac:dyDescent="0.25">
      <c r="H754" s="33"/>
      <c r="I754" s="33"/>
    </row>
    <row r="755" spans="8:9" ht="14.25" customHeight="1" x14ac:dyDescent="0.25">
      <c r="H755" s="33"/>
      <c r="I755" s="33"/>
    </row>
    <row r="756" spans="8:9" ht="14.25" customHeight="1" x14ac:dyDescent="0.25">
      <c r="H756" s="33"/>
      <c r="I756" s="33"/>
    </row>
    <row r="757" spans="8:9" ht="14.25" customHeight="1" x14ac:dyDescent="0.25">
      <c r="H757" s="33"/>
      <c r="I757" s="33"/>
    </row>
    <row r="758" spans="8:9" ht="14.25" customHeight="1" x14ac:dyDescent="0.25">
      <c r="H758" s="33"/>
      <c r="I758" s="33"/>
    </row>
    <row r="759" spans="8:9" ht="14.25" customHeight="1" x14ac:dyDescent="0.25">
      <c r="H759" s="33"/>
      <c r="I759" s="33"/>
    </row>
    <row r="760" spans="8:9" ht="14.25" customHeight="1" x14ac:dyDescent="0.25">
      <c r="H760" s="33"/>
      <c r="I760" s="33"/>
    </row>
    <row r="761" spans="8:9" ht="14.25" customHeight="1" x14ac:dyDescent="0.25">
      <c r="H761" s="33"/>
      <c r="I761" s="33"/>
    </row>
    <row r="762" spans="8:9" ht="14.25" customHeight="1" x14ac:dyDescent="0.25">
      <c r="H762" s="33"/>
      <c r="I762" s="33"/>
    </row>
    <row r="763" spans="8:9" ht="14.25" customHeight="1" x14ac:dyDescent="0.25">
      <c r="H763" s="33"/>
      <c r="I763" s="33"/>
    </row>
    <row r="764" spans="8:9" ht="14.25" customHeight="1" x14ac:dyDescent="0.25">
      <c r="H764" s="33"/>
      <c r="I764" s="33"/>
    </row>
    <row r="765" spans="8:9" ht="14.25" customHeight="1" x14ac:dyDescent="0.25">
      <c r="H765" s="33"/>
      <c r="I765" s="33"/>
    </row>
    <row r="766" spans="8:9" ht="14.25" customHeight="1" x14ac:dyDescent="0.25">
      <c r="H766" s="33"/>
      <c r="I766" s="33"/>
    </row>
    <row r="767" spans="8:9" ht="14.25" customHeight="1" x14ac:dyDescent="0.25">
      <c r="H767" s="33"/>
      <c r="I767" s="33"/>
    </row>
    <row r="768" spans="8:9" ht="14.25" customHeight="1" x14ac:dyDescent="0.25">
      <c r="H768" s="33"/>
      <c r="I768" s="33"/>
    </row>
    <row r="769" spans="8:9" ht="14.25" customHeight="1" x14ac:dyDescent="0.25">
      <c r="H769" s="33"/>
      <c r="I769" s="33"/>
    </row>
    <row r="770" spans="8:9" ht="14.25" customHeight="1" x14ac:dyDescent="0.25">
      <c r="H770" s="33"/>
      <c r="I770" s="33"/>
    </row>
    <row r="771" spans="8:9" ht="14.25" customHeight="1" x14ac:dyDescent="0.25">
      <c r="H771" s="33"/>
      <c r="I771" s="33"/>
    </row>
    <row r="772" spans="8:9" ht="14.25" customHeight="1" x14ac:dyDescent="0.25">
      <c r="H772" s="33"/>
      <c r="I772" s="33"/>
    </row>
    <row r="773" spans="8:9" ht="14.25" customHeight="1" x14ac:dyDescent="0.25">
      <c r="H773" s="33"/>
      <c r="I773" s="33"/>
    </row>
    <row r="774" spans="8:9" ht="14.25" customHeight="1" x14ac:dyDescent="0.25">
      <c r="H774" s="33"/>
      <c r="I774" s="33"/>
    </row>
    <row r="775" spans="8:9" ht="14.25" customHeight="1" x14ac:dyDescent="0.25">
      <c r="H775" s="33"/>
      <c r="I775" s="33"/>
    </row>
    <row r="776" spans="8:9" ht="14.25" customHeight="1" x14ac:dyDescent="0.25">
      <c r="H776" s="33"/>
      <c r="I776" s="33"/>
    </row>
    <row r="777" spans="8:9" ht="14.25" customHeight="1" x14ac:dyDescent="0.25">
      <c r="H777" s="33"/>
      <c r="I777" s="33"/>
    </row>
    <row r="778" spans="8:9" ht="14.25" customHeight="1" x14ac:dyDescent="0.25">
      <c r="H778" s="33"/>
      <c r="I778" s="33"/>
    </row>
    <row r="779" spans="8:9" ht="14.25" customHeight="1" x14ac:dyDescent="0.25">
      <c r="H779" s="33"/>
      <c r="I779" s="33"/>
    </row>
    <row r="780" spans="8:9" ht="14.25" customHeight="1" x14ac:dyDescent="0.25">
      <c r="H780" s="33"/>
      <c r="I780" s="33"/>
    </row>
    <row r="781" spans="8:9" ht="14.25" customHeight="1" x14ac:dyDescent="0.25">
      <c r="H781" s="33"/>
      <c r="I781" s="33"/>
    </row>
    <row r="782" spans="8:9" ht="14.25" customHeight="1" x14ac:dyDescent="0.25">
      <c r="H782" s="33"/>
      <c r="I782" s="33"/>
    </row>
    <row r="783" spans="8:9" ht="14.25" customHeight="1" x14ac:dyDescent="0.25">
      <c r="H783" s="33"/>
      <c r="I783" s="33"/>
    </row>
    <row r="784" spans="8:9" ht="14.25" customHeight="1" x14ac:dyDescent="0.25">
      <c r="H784" s="33"/>
      <c r="I784" s="33"/>
    </row>
    <row r="785" spans="8:9" ht="14.25" customHeight="1" x14ac:dyDescent="0.25">
      <c r="H785" s="33"/>
      <c r="I785" s="33"/>
    </row>
    <row r="786" spans="8:9" ht="14.25" customHeight="1" x14ac:dyDescent="0.25">
      <c r="H786" s="33"/>
      <c r="I786" s="33"/>
    </row>
    <row r="787" spans="8:9" ht="14.25" customHeight="1" x14ac:dyDescent="0.25">
      <c r="H787" s="33"/>
      <c r="I787" s="33"/>
    </row>
    <row r="788" spans="8:9" ht="14.25" customHeight="1" x14ac:dyDescent="0.25">
      <c r="H788" s="33"/>
      <c r="I788" s="33"/>
    </row>
    <row r="789" spans="8:9" ht="14.25" customHeight="1" x14ac:dyDescent="0.25">
      <c r="H789" s="33"/>
      <c r="I789" s="33"/>
    </row>
    <row r="790" spans="8:9" ht="14.25" customHeight="1" x14ac:dyDescent="0.25">
      <c r="H790" s="33"/>
      <c r="I790" s="33"/>
    </row>
    <row r="791" spans="8:9" ht="14.25" customHeight="1" x14ac:dyDescent="0.25">
      <c r="H791" s="33"/>
      <c r="I791" s="33"/>
    </row>
    <row r="792" spans="8:9" ht="14.25" customHeight="1" x14ac:dyDescent="0.25">
      <c r="H792" s="33"/>
      <c r="I792" s="33"/>
    </row>
    <row r="793" spans="8:9" ht="14.25" customHeight="1" x14ac:dyDescent="0.25">
      <c r="H793" s="33"/>
      <c r="I793" s="33"/>
    </row>
    <row r="794" spans="8:9" ht="14.25" customHeight="1" x14ac:dyDescent="0.25">
      <c r="H794" s="33"/>
      <c r="I794" s="33"/>
    </row>
    <row r="795" spans="8:9" ht="14.25" customHeight="1" x14ac:dyDescent="0.25">
      <c r="H795" s="33"/>
      <c r="I795" s="33"/>
    </row>
    <row r="796" spans="8:9" ht="14.25" customHeight="1" x14ac:dyDescent="0.25">
      <c r="H796" s="33"/>
      <c r="I796" s="33"/>
    </row>
    <row r="797" spans="8:9" ht="14.25" customHeight="1" x14ac:dyDescent="0.25">
      <c r="H797" s="33"/>
      <c r="I797" s="33"/>
    </row>
    <row r="798" spans="8:9" ht="14.25" customHeight="1" x14ac:dyDescent="0.25">
      <c r="H798" s="33"/>
      <c r="I798" s="33"/>
    </row>
    <row r="799" spans="8:9" ht="14.25" customHeight="1" x14ac:dyDescent="0.25">
      <c r="H799" s="33"/>
      <c r="I799" s="33"/>
    </row>
    <row r="800" spans="8:9" ht="14.25" customHeight="1" x14ac:dyDescent="0.25">
      <c r="H800" s="33"/>
      <c r="I800" s="33"/>
    </row>
    <row r="801" spans="8:9" ht="14.25" customHeight="1" x14ac:dyDescent="0.25">
      <c r="H801" s="33"/>
      <c r="I801" s="33"/>
    </row>
    <row r="802" spans="8:9" ht="14.25" customHeight="1" x14ac:dyDescent="0.25">
      <c r="H802" s="33"/>
      <c r="I802" s="33"/>
    </row>
    <row r="803" spans="8:9" ht="14.25" customHeight="1" x14ac:dyDescent="0.25">
      <c r="H803" s="33"/>
      <c r="I803" s="33"/>
    </row>
    <row r="804" spans="8:9" ht="14.25" customHeight="1" x14ac:dyDescent="0.25">
      <c r="H804" s="33"/>
      <c r="I804" s="33"/>
    </row>
    <row r="805" spans="8:9" ht="14.25" customHeight="1" x14ac:dyDescent="0.25">
      <c r="H805" s="33"/>
      <c r="I805" s="33"/>
    </row>
    <row r="806" spans="8:9" ht="14.25" customHeight="1" x14ac:dyDescent="0.25">
      <c r="H806" s="33"/>
      <c r="I806" s="33"/>
    </row>
    <row r="807" spans="8:9" ht="14.25" customHeight="1" x14ac:dyDescent="0.25">
      <c r="H807" s="33"/>
      <c r="I807" s="33"/>
    </row>
    <row r="808" spans="8:9" ht="14.25" customHeight="1" x14ac:dyDescent="0.25">
      <c r="H808" s="33"/>
      <c r="I808" s="33"/>
    </row>
    <row r="809" spans="8:9" ht="14.25" customHeight="1" x14ac:dyDescent="0.25">
      <c r="H809" s="33"/>
      <c r="I809" s="33"/>
    </row>
    <row r="810" spans="8:9" ht="14.25" customHeight="1" x14ac:dyDescent="0.25">
      <c r="H810" s="33"/>
      <c r="I810" s="33"/>
    </row>
    <row r="811" spans="8:9" ht="14.25" customHeight="1" x14ac:dyDescent="0.25">
      <c r="H811" s="33"/>
      <c r="I811" s="33"/>
    </row>
    <row r="812" spans="8:9" ht="14.25" customHeight="1" x14ac:dyDescent="0.25">
      <c r="H812" s="33"/>
      <c r="I812" s="33"/>
    </row>
    <row r="813" spans="8:9" ht="14.25" customHeight="1" x14ac:dyDescent="0.25">
      <c r="H813" s="33"/>
      <c r="I813" s="33"/>
    </row>
    <row r="814" spans="8:9" ht="14.25" customHeight="1" x14ac:dyDescent="0.25">
      <c r="H814" s="33"/>
      <c r="I814" s="33"/>
    </row>
    <row r="815" spans="8:9" ht="14.25" customHeight="1" x14ac:dyDescent="0.25">
      <c r="H815" s="33"/>
      <c r="I815" s="33"/>
    </row>
    <row r="816" spans="8:9" ht="14.25" customHeight="1" x14ac:dyDescent="0.25">
      <c r="H816" s="33"/>
      <c r="I816" s="33"/>
    </row>
    <row r="817" spans="8:9" ht="14.25" customHeight="1" x14ac:dyDescent="0.25">
      <c r="H817" s="33"/>
      <c r="I817" s="33"/>
    </row>
    <row r="818" spans="8:9" ht="14.25" customHeight="1" x14ac:dyDescent="0.25">
      <c r="H818" s="33"/>
      <c r="I818" s="33"/>
    </row>
    <row r="819" spans="8:9" ht="14.25" customHeight="1" x14ac:dyDescent="0.25">
      <c r="H819" s="33"/>
      <c r="I819" s="33"/>
    </row>
    <row r="820" spans="8:9" ht="14.25" customHeight="1" x14ac:dyDescent="0.25">
      <c r="H820" s="33"/>
      <c r="I820" s="33"/>
    </row>
    <row r="821" spans="8:9" ht="14.25" customHeight="1" x14ac:dyDescent="0.25">
      <c r="H821" s="33"/>
      <c r="I821" s="33"/>
    </row>
    <row r="822" spans="8:9" ht="14.25" customHeight="1" x14ac:dyDescent="0.25">
      <c r="H822" s="33"/>
      <c r="I822" s="33"/>
    </row>
    <row r="823" spans="8:9" ht="14.25" customHeight="1" x14ac:dyDescent="0.25">
      <c r="H823" s="33"/>
      <c r="I823" s="33"/>
    </row>
    <row r="824" spans="8:9" ht="14.25" customHeight="1" x14ac:dyDescent="0.25">
      <c r="H824" s="33"/>
      <c r="I824" s="33"/>
    </row>
    <row r="825" spans="8:9" ht="14.25" customHeight="1" x14ac:dyDescent="0.25">
      <c r="H825" s="33"/>
      <c r="I825" s="33"/>
    </row>
    <row r="826" spans="8:9" ht="14.25" customHeight="1" x14ac:dyDescent="0.25">
      <c r="H826" s="33"/>
      <c r="I826" s="33"/>
    </row>
    <row r="827" spans="8:9" ht="14.25" customHeight="1" x14ac:dyDescent="0.25">
      <c r="H827" s="33"/>
      <c r="I827" s="33"/>
    </row>
    <row r="828" spans="8:9" ht="14.25" customHeight="1" x14ac:dyDescent="0.25">
      <c r="H828" s="33"/>
      <c r="I828" s="33"/>
    </row>
    <row r="829" spans="8:9" ht="14.25" customHeight="1" x14ac:dyDescent="0.25">
      <c r="H829" s="33"/>
      <c r="I829" s="33"/>
    </row>
    <row r="830" spans="8:9" ht="14.25" customHeight="1" x14ac:dyDescent="0.25">
      <c r="H830" s="33"/>
      <c r="I830" s="33"/>
    </row>
    <row r="831" spans="8:9" ht="14.25" customHeight="1" x14ac:dyDescent="0.25">
      <c r="H831" s="33"/>
      <c r="I831" s="33"/>
    </row>
    <row r="832" spans="8:9" ht="14.25" customHeight="1" x14ac:dyDescent="0.25">
      <c r="H832" s="33"/>
      <c r="I832" s="33"/>
    </row>
    <row r="833" spans="8:9" ht="14.25" customHeight="1" x14ac:dyDescent="0.25">
      <c r="H833" s="33"/>
      <c r="I833" s="33"/>
    </row>
    <row r="834" spans="8:9" ht="14.25" customHeight="1" x14ac:dyDescent="0.25">
      <c r="H834" s="33"/>
      <c r="I834" s="33"/>
    </row>
    <row r="835" spans="8:9" ht="14.25" customHeight="1" x14ac:dyDescent="0.25">
      <c r="H835" s="33"/>
      <c r="I835" s="33"/>
    </row>
    <row r="836" spans="8:9" ht="14.25" customHeight="1" x14ac:dyDescent="0.25">
      <c r="H836" s="33"/>
      <c r="I836" s="33"/>
    </row>
    <row r="837" spans="8:9" ht="14.25" customHeight="1" x14ac:dyDescent="0.25">
      <c r="H837" s="33"/>
      <c r="I837" s="33"/>
    </row>
    <row r="838" spans="8:9" ht="14.25" customHeight="1" x14ac:dyDescent="0.25">
      <c r="H838" s="33"/>
      <c r="I838" s="33"/>
    </row>
    <row r="839" spans="8:9" ht="14.25" customHeight="1" x14ac:dyDescent="0.25">
      <c r="H839" s="33"/>
      <c r="I839" s="33"/>
    </row>
    <row r="840" spans="8:9" ht="14.25" customHeight="1" x14ac:dyDescent="0.25">
      <c r="H840" s="33"/>
      <c r="I840" s="33"/>
    </row>
    <row r="841" spans="8:9" ht="14.25" customHeight="1" x14ac:dyDescent="0.25">
      <c r="H841" s="33"/>
      <c r="I841" s="33"/>
    </row>
    <row r="842" spans="8:9" ht="14.25" customHeight="1" x14ac:dyDescent="0.25">
      <c r="H842" s="33"/>
      <c r="I842" s="33"/>
    </row>
    <row r="843" spans="8:9" ht="14.25" customHeight="1" x14ac:dyDescent="0.25">
      <c r="H843" s="33"/>
      <c r="I843" s="33"/>
    </row>
    <row r="844" spans="8:9" ht="14.25" customHeight="1" x14ac:dyDescent="0.25">
      <c r="H844" s="33"/>
      <c r="I844" s="33"/>
    </row>
    <row r="845" spans="8:9" ht="14.25" customHeight="1" x14ac:dyDescent="0.25">
      <c r="H845" s="33"/>
      <c r="I845" s="33"/>
    </row>
    <row r="846" spans="8:9" ht="14.25" customHeight="1" x14ac:dyDescent="0.25">
      <c r="H846" s="33"/>
      <c r="I846" s="33"/>
    </row>
    <row r="847" spans="8:9" ht="14.25" customHeight="1" x14ac:dyDescent="0.25">
      <c r="H847" s="33"/>
      <c r="I847" s="33"/>
    </row>
    <row r="848" spans="8:9" ht="14.25" customHeight="1" x14ac:dyDescent="0.25">
      <c r="H848" s="33"/>
      <c r="I848" s="33"/>
    </row>
    <row r="849" spans="8:9" ht="14.25" customHeight="1" x14ac:dyDescent="0.25">
      <c r="H849" s="33"/>
      <c r="I849" s="33"/>
    </row>
    <row r="850" spans="8:9" ht="14.25" customHeight="1" x14ac:dyDescent="0.25">
      <c r="H850" s="33"/>
      <c r="I850" s="33"/>
    </row>
    <row r="851" spans="8:9" ht="14.25" customHeight="1" x14ac:dyDescent="0.25">
      <c r="H851" s="33"/>
      <c r="I851" s="33"/>
    </row>
    <row r="852" spans="8:9" ht="14.25" customHeight="1" x14ac:dyDescent="0.25">
      <c r="H852" s="33"/>
      <c r="I852" s="33"/>
    </row>
    <row r="853" spans="8:9" ht="14.25" customHeight="1" x14ac:dyDescent="0.25">
      <c r="H853" s="33"/>
      <c r="I853" s="33"/>
    </row>
    <row r="854" spans="8:9" ht="14.25" customHeight="1" x14ac:dyDescent="0.25">
      <c r="H854" s="33"/>
      <c r="I854" s="33"/>
    </row>
    <row r="855" spans="8:9" ht="14.25" customHeight="1" x14ac:dyDescent="0.25">
      <c r="H855" s="33"/>
      <c r="I855" s="33"/>
    </row>
    <row r="856" spans="8:9" ht="14.25" customHeight="1" x14ac:dyDescent="0.25">
      <c r="H856" s="33"/>
      <c r="I856" s="33"/>
    </row>
    <row r="857" spans="8:9" ht="14.25" customHeight="1" x14ac:dyDescent="0.25">
      <c r="H857" s="33"/>
      <c r="I857" s="33"/>
    </row>
    <row r="858" spans="8:9" ht="14.25" customHeight="1" x14ac:dyDescent="0.25">
      <c r="H858" s="33"/>
      <c r="I858" s="33"/>
    </row>
    <row r="859" spans="8:9" ht="14.25" customHeight="1" x14ac:dyDescent="0.25">
      <c r="H859" s="33"/>
      <c r="I859" s="33"/>
    </row>
    <row r="860" spans="8:9" ht="14.25" customHeight="1" x14ac:dyDescent="0.25">
      <c r="H860" s="33"/>
      <c r="I860" s="33"/>
    </row>
    <row r="861" spans="8:9" ht="14.25" customHeight="1" x14ac:dyDescent="0.25">
      <c r="H861" s="33"/>
      <c r="I861" s="33"/>
    </row>
    <row r="862" spans="8:9" ht="14.25" customHeight="1" x14ac:dyDescent="0.25">
      <c r="H862" s="33"/>
      <c r="I862" s="33"/>
    </row>
    <row r="863" spans="8:9" ht="14.25" customHeight="1" x14ac:dyDescent="0.25">
      <c r="H863" s="33"/>
      <c r="I863" s="33"/>
    </row>
    <row r="864" spans="8:9" ht="14.25" customHeight="1" x14ac:dyDescent="0.25">
      <c r="H864" s="33"/>
      <c r="I864" s="33"/>
    </row>
    <row r="865" spans="8:9" ht="14.25" customHeight="1" x14ac:dyDescent="0.25">
      <c r="H865" s="33"/>
      <c r="I865" s="33"/>
    </row>
    <row r="866" spans="8:9" ht="14.25" customHeight="1" x14ac:dyDescent="0.25">
      <c r="H866" s="33"/>
      <c r="I866" s="33"/>
    </row>
    <row r="867" spans="8:9" ht="14.25" customHeight="1" x14ac:dyDescent="0.25">
      <c r="H867" s="33"/>
      <c r="I867" s="33"/>
    </row>
    <row r="868" spans="8:9" ht="14.25" customHeight="1" x14ac:dyDescent="0.25">
      <c r="H868" s="33"/>
      <c r="I868" s="33"/>
    </row>
    <row r="869" spans="8:9" ht="14.25" customHeight="1" x14ac:dyDescent="0.25">
      <c r="H869" s="33"/>
      <c r="I869" s="33"/>
    </row>
    <row r="870" spans="8:9" ht="14.25" customHeight="1" x14ac:dyDescent="0.25">
      <c r="H870" s="33"/>
      <c r="I870" s="33"/>
    </row>
    <row r="871" spans="8:9" ht="14.25" customHeight="1" x14ac:dyDescent="0.25">
      <c r="H871" s="33"/>
      <c r="I871" s="33"/>
    </row>
    <row r="872" spans="8:9" ht="14.25" customHeight="1" x14ac:dyDescent="0.25">
      <c r="H872" s="33"/>
      <c r="I872" s="33"/>
    </row>
    <row r="873" spans="8:9" ht="14.25" customHeight="1" x14ac:dyDescent="0.25">
      <c r="H873" s="33"/>
      <c r="I873" s="33"/>
    </row>
    <row r="874" spans="8:9" ht="14.25" customHeight="1" x14ac:dyDescent="0.25">
      <c r="H874" s="33"/>
      <c r="I874" s="33"/>
    </row>
    <row r="875" spans="8:9" ht="14.25" customHeight="1" x14ac:dyDescent="0.25">
      <c r="H875" s="33"/>
      <c r="I875" s="33"/>
    </row>
    <row r="876" spans="8:9" ht="14.25" customHeight="1" x14ac:dyDescent="0.25">
      <c r="H876" s="33"/>
      <c r="I876" s="33"/>
    </row>
    <row r="877" spans="8:9" ht="14.25" customHeight="1" x14ac:dyDescent="0.25">
      <c r="H877" s="33"/>
      <c r="I877" s="33"/>
    </row>
    <row r="878" spans="8:9" ht="14.25" customHeight="1" x14ac:dyDescent="0.25">
      <c r="H878" s="33"/>
      <c r="I878" s="33"/>
    </row>
    <row r="879" spans="8:9" ht="14.25" customHeight="1" x14ac:dyDescent="0.25">
      <c r="H879" s="33"/>
      <c r="I879" s="33"/>
    </row>
    <row r="880" spans="8:9" ht="14.25" customHeight="1" x14ac:dyDescent="0.25">
      <c r="H880" s="33"/>
      <c r="I880" s="33"/>
    </row>
    <row r="881" spans="8:9" ht="14.25" customHeight="1" x14ac:dyDescent="0.25">
      <c r="H881" s="33"/>
      <c r="I881" s="33"/>
    </row>
    <row r="882" spans="8:9" ht="14.25" customHeight="1" x14ac:dyDescent="0.25">
      <c r="H882" s="33"/>
      <c r="I882" s="33"/>
    </row>
    <row r="883" spans="8:9" ht="14.25" customHeight="1" x14ac:dyDescent="0.25">
      <c r="H883" s="33"/>
      <c r="I883" s="33"/>
    </row>
    <row r="884" spans="8:9" ht="14.25" customHeight="1" x14ac:dyDescent="0.25">
      <c r="H884" s="33"/>
      <c r="I884" s="33"/>
    </row>
    <row r="885" spans="8:9" ht="14.25" customHeight="1" x14ac:dyDescent="0.25">
      <c r="H885" s="33"/>
      <c r="I885" s="33"/>
    </row>
    <row r="886" spans="8:9" ht="14.25" customHeight="1" x14ac:dyDescent="0.25">
      <c r="H886" s="33"/>
      <c r="I886" s="33"/>
    </row>
    <row r="887" spans="8:9" ht="14.25" customHeight="1" x14ac:dyDescent="0.25">
      <c r="H887" s="33"/>
      <c r="I887" s="33"/>
    </row>
    <row r="888" spans="8:9" ht="14.25" customHeight="1" x14ac:dyDescent="0.25">
      <c r="H888" s="33"/>
      <c r="I888" s="33"/>
    </row>
    <row r="889" spans="8:9" ht="14.25" customHeight="1" x14ac:dyDescent="0.25">
      <c r="H889" s="33"/>
      <c r="I889" s="33"/>
    </row>
    <row r="890" spans="8:9" ht="14.25" customHeight="1" x14ac:dyDescent="0.25">
      <c r="H890" s="33"/>
      <c r="I890" s="33"/>
    </row>
    <row r="891" spans="8:9" ht="14.25" customHeight="1" x14ac:dyDescent="0.25">
      <c r="H891" s="33"/>
      <c r="I891" s="33"/>
    </row>
    <row r="892" spans="8:9" ht="14.25" customHeight="1" x14ac:dyDescent="0.25">
      <c r="H892" s="33"/>
      <c r="I892" s="33"/>
    </row>
    <row r="893" spans="8:9" ht="14.25" customHeight="1" x14ac:dyDescent="0.25">
      <c r="H893" s="33"/>
      <c r="I893" s="33"/>
    </row>
    <row r="894" spans="8:9" ht="14.25" customHeight="1" x14ac:dyDescent="0.25">
      <c r="H894" s="33"/>
      <c r="I894" s="33"/>
    </row>
    <row r="895" spans="8:9" ht="14.25" customHeight="1" x14ac:dyDescent="0.25">
      <c r="H895" s="33"/>
      <c r="I895" s="33"/>
    </row>
    <row r="896" spans="8:9" ht="14.25" customHeight="1" x14ac:dyDescent="0.25">
      <c r="H896" s="33"/>
      <c r="I896" s="33"/>
    </row>
    <row r="897" spans="8:9" ht="14.25" customHeight="1" x14ac:dyDescent="0.25">
      <c r="H897" s="33"/>
      <c r="I897" s="33"/>
    </row>
    <row r="898" spans="8:9" ht="14.25" customHeight="1" x14ac:dyDescent="0.25">
      <c r="H898" s="33"/>
      <c r="I898" s="33"/>
    </row>
    <row r="899" spans="8:9" ht="14.25" customHeight="1" x14ac:dyDescent="0.25">
      <c r="H899" s="33"/>
      <c r="I899" s="33"/>
    </row>
    <row r="900" spans="8:9" ht="14.25" customHeight="1" x14ac:dyDescent="0.25">
      <c r="H900" s="33"/>
      <c r="I900" s="33"/>
    </row>
    <row r="901" spans="8:9" ht="14.25" customHeight="1" x14ac:dyDescent="0.25">
      <c r="H901" s="33"/>
      <c r="I901" s="33"/>
    </row>
    <row r="902" spans="8:9" ht="14.25" customHeight="1" x14ac:dyDescent="0.25">
      <c r="H902" s="33"/>
      <c r="I902" s="33"/>
    </row>
    <row r="903" spans="8:9" ht="14.25" customHeight="1" x14ac:dyDescent="0.25">
      <c r="H903" s="33"/>
      <c r="I903" s="33"/>
    </row>
    <row r="904" spans="8:9" ht="14.25" customHeight="1" x14ac:dyDescent="0.25">
      <c r="H904" s="33"/>
      <c r="I904" s="33"/>
    </row>
    <row r="905" spans="8:9" ht="14.25" customHeight="1" x14ac:dyDescent="0.25">
      <c r="H905" s="33"/>
      <c r="I905" s="33"/>
    </row>
    <row r="906" spans="8:9" ht="14.25" customHeight="1" x14ac:dyDescent="0.25">
      <c r="H906" s="33"/>
      <c r="I906" s="33"/>
    </row>
    <row r="907" spans="8:9" ht="14.25" customHeight="1" x14ac:dyDescent="0.25">
      <c r="H907" s="33"/>
      <c r="I907" s="33"/>
    </row>
    <row r="908" spans="8:9" ht="14.25" customHeight="1" x14ac:dyDescent="0.25">
      <c r="H908" s="33"/>
      <c r="I908" s="33"/>
    </row>
    <row r="909" spans="8:9" ht="14.25" customHeight="1" x14ac:dyDescent="0.25">
      <c r="H909" s="33"/>
      <c r="I909" s="33"/>
    </row>
    <row r="910" spans="8:9" ht="14.25" customHeight="1" x14ac:dyDescent="0.25">
      <c r="H910" s="33"/>
      <c r="I910" s="33"/>
    </row>
    <row r="911" spans="8:9" ht="14.25" customHeight="1" x14ac:dyDescent="0.25">
      <c r="H911" s="33"/>
      <c r="I911" s="33"/>
    </row>
    <row r="912" spans="8:9" ht="14.25" customHeight="1" x14ac:dyDescent="0.25">
      <c r="H912" s="33"/>
      <c r="I912" s="33"/>
    </row>
    <row r="913" spans="8:9" ht="14.25" customHeight="1" x14ac:dyDescent="0.25">
      <c r="H913" s="33"/>
      <c r="I913" s="33"/>
    </row>
    <row r="914" spans="8:9" ht="14.25" customHeight="1" x14ac:dyDescent="0.25">
      <c r="H914" s="33"/>
      <c r="I914" s="33"/>
    </row>
    <row r="915" spans="8:9" ht="14.25" customHeight="1" x14ac:dyDescent="0.25">
      <c r="H915" s="33"/>
      <c r="I915" s="33"/>
    </row>
    <row r="916" spans="8:9" ht="14.25" customHeight="1" x14ac:dyDescent="0.25">
      <c r="H916" s="33"/>
      <c r="I916" s="33"/>
    </row>
    <row r="917" spans="8:9" ht="14.25" customHeight="1" x14ac:dyDescent="0.25">
      <c r="H917" s="33"/>
      <c r="I917" s="33"/>
    </row>
    <row r="918" spans="8:9" ht="14.25" customHeight="1" x14ac:dyDescent="0.25">
      <c r="H918" s="33"/>
      <c r="I918" s="33"/>
    </row>
    <row r="919" spans="8:9" ht="14.25" customHeight="1" x14ac:dyDescent="0.25">
      <c r="H919" s="33"/>
      <c r="I919" s="33"/>
    </row>
    <row r="920" spans="8:9" ht="14.25" customHeight="1" x14ac:dyDescent="0.25">
      <c r="H920" s="33"/>
      <c r="I920" s="33"/>
    </row>
    <row r="921" spans="8:9" ht="14.25" customHeight="1" x14ac:dyDescent="0.25">
      <c r="H921" s="33"/>
      <c r="I921" s="33"/>
    </row>
    <row r="922" spans="8:9" ht="14.25" customHeight="1" x14ac:dyDescent="0.25">
      <c r="H922" s="33"/>
      <c r="I922" s="33"/>
    </row>
    <row r="923" spans="8:9" ht="14.25" customHeight="1" x14ac:dyDescent="0.25">
      <c r="H923" s="33"/>
      <c r="I923" s="33"/>
    </row>
    <row r="924" spans="8:9" ht="14.25" customHeight="1" x14ac:dyDescent="0.25">
      <c r="H924" s="33"/>
      <c r="I924" s="33"/>
    </row>
    <row r="925" spans="8:9" ht="14.25" customHeight="1" x14ac:dyDescent="0.25">
      <c r="H925" s="33"/>
      <c r="I925" s="33"/>
    </row>
    <row r="926" spans="8:9" ht="14.25" customHeight="1" x14ac:dyDescent="0.25">
      <c r="H926" s="33"/>
      <c r="I926" s="33"/>
    </row>
    <row r="927" spans="8:9" ht="14.25" customHeight="1" x14ac:dyDescent="0.25">
      <c r="H927" s="33"/>
      <c r="I927" s="33"/>
    </row>
    <row r="928" spans="8:9" ht="14.25" customHeight="1" x14ac:dyDescent="0.25">
      <c r="H928" s="33"/>
      <c r="I928" s="33"/>
    </row>
    <row r="929" spans="8:9" ht="14.25" customHeight="1" x14ac:dyDescent="0.25">
      <c r="H929" s="33"/>
      <c r="I929" s="33"/>
    </row>
    <row r="930" spans="8:9" ht="14.25" customHeight="1" x14ac:dyDescent="0.25">
      <c r="H930" s="33"/>
      <c r="I930" s="33"/>
    </row>
    <row r="931" spans="8:9" ht="14.25" customHeight="1" x14ac:dyDescent="0.25">
      <c r="H931" s="33"/>
      <c r="I931" s="33"/>
    </row>
    <row r="932" spans="8:9" ht="14.25" customHeight="1" x14ac:dyDescent="0.25">
      <c r="H932" s="33"/>
      <c r="I932" s="33"/>
    </row>
    <row r="933" spans="8:9" ht="14.25" customHeight="1" x14ac:dyDescent="0.25">
      <c r="H933" s="33"/>
      <c r="I933" s="33"/>
    </row>
    <row r="934" spans="8:9" ht="14.25" customHeight="1" x14ac:dyDescent="0.25">
      <c r="H934" s="33"/>
      <c r="I934" s="33"/>
    </row>
    <row r="935" spans="8:9" ht="14.25" customHeight="1" x14ac:dyDescent="0.25">
      <c r="H935" s="33"/>
      <c r="I935" s="33"/>
    </row>
    <row r="936" spans="8:9" ht="14.25" customHeight="1" x14ac:dyDescent="0.25">
      <c r="H936" s="33"/>
      <c r="I936" s="33"/>
    </row>
    <row r="937" spans="8:9" ht="14.25" customHeight="1" x14ac:dyDescent="0.25">
      <c r="H937" s="33"/>
      <c r="I937" s="33"/>
    </row>
    <row r="938" spans="8:9" ht="14.25" customHeight="1" x14ac:dyDescent="0.25">
      <c r="H938" s="33"/>
      <c r="I938" s="33"/>
    </row>
    <row r="939" spans="8:9" ht="14.25" customHeight="1" x14ac:dyDescent="0.25">
      <c r="H939" s="33"/>
      <c r="I939" s="33"/>
    </row>
    <row r="940" spans="8:9" ht="14.25" customHeight="1" x14ac:dyDescent="0.25">
      <c r="H940" s="33"/>
      <c r="I940" s="33"/>
    </row>
    <row r="941" spans="8:9" ht="14.25" customHeight="1" x14ac:dyDescent="0.25">
      <c r="H941" s="33"/>
      <c r="I941" s="33"/>
    </row>
    <row r="942" spans="8:9" ht="14.25" customHeight="1" x14ac:dyDescent="0.25">
      <c r="H942" s="33"/>
      <c r="I942" s="33"/>
    </row>
    <row r="943" spans="8:9" ht="14.25" customHeight="1" x14ac:dyDescent="0.25">
      <c r="H943" s="33"/>
      <c r="I943" s="33"/>
    </row>
    <row r="944" spans="8:9" ht="14.25" customHeight="1" x14ac:dyDescent="0.25">
      <c r="H944" s="33"/>
      <c r="I944" s="33"/>
    </row>
    <row r="945" spans="8:9" ht="14.25" customHeight="1" x14ac:dyDescent="0.25">
      <c r="H945" s="33"/>
      <c r="I945" s="33"/>
    </row>
    <row r="946" spans="8:9" ht="14.25" customHeight="1" x14ac:dyDescent="0.25">
      <c r="H946" s="33"/>
      <c r="I946" s="33"/>
    </row>
    <row r="947" spans="8:9" ht="14.25" customHeight="1" x14ac:dyDescent="0.25">
      <c r="H947" s="33"/>
      <c r="I947" s="33"/>
    </row>
    <row r="948" spans="8:9" ht="14.25" customHeight="1" x14ac:dyDescent="0.25">
      <c r="H948" s="33"/>
      <c r="I948" s="33"/>
    </row>
    <row r="949" spans="8:9" ht="14.25" customHeight="1" x14ac:dyDescent="0.25">
      <c r="H949" s="33"/>
      <c r="I949" s="33"/>
    </row>
    <row r="950" spans="8:9" ht="14.25" customHeight="1" x14ac:dyDescent="0.25">
      <c r="H950" s="33"/>
      <c r="I950" s="33"/>
    </row>
    <row r="951" spans="8:9" ht="14.25" customHeight="1" x14ac:dyDescent="0.25">
      <c r="H951" s="33"/>
      <c r="I951" s="33"/>
    </row>
    <row r="952" spans="8:9" ht="14.25" customHeight="1" x14ac:dyDescent="0.25">
      <c r="H952" s="33"/>
      <c r="I952" s="33"/>
    </row>
    <row r="953" spans="8:9" ht="14.25" customHeight="1" x14ac:dyDescent="0.25">
      <c r="H953" s="33"/>
      <c r="I953" s="33"/>
    </row>
    <row r="954" spans="8:9" ht="14.25" customHeight="1" x14ac:dyDescent="0.25">
      <c r="H954" s="33"/>
      <c r="I954" s="33"/>
    </row>
    <row r="955" spans="8:9" ht="14.25" customHeight="1" x14ac:dyDescent="0.25">
      <c r="H955" s="33"/>
      <c r="I955" s="33"/>
    </row>
    <row r="956" spans="8:9" ht="14.25" customHeight="1" x14ac:dyDescent="0.25">
      <c r="H956" s="33"/>
      <c r="I956" s="33"/>
    </row>
    <row r="957" spans="8:9" ht="14.25" customHeight="1" x14ac:dyDescent="0.25">
      <c r="H957" s="33"/>
      <c r="I957" s="33"/>
    </row>
    <row r="958" spans="8:9" ht="14.25" customHeight="1" x14ac:dyDescent="0.25">
      <c r="H958" s="33"/>
      <c r="I958" s="33"/>
    </row>
    <row r="959" spans="8:9" ht="14.25" customHeight="1" x14ac:dyDescent="0.25">
      <c r="H959" s="33"/>
      <c r="I959" s="33"/>
    </row>
    <row r="960" spans="8:9" ht="14.25" customHeight="1" x14ac:dyDescent="0.25">
      <c r="H960" s="33"/>
      <c r="I960" s="33"/>
    </row>
    <row r="961" spans="8:9" ht="14.25" customHeight="1" x14ac:dyDescent="0.25">
      <c r="H961" s="33"/>
      <c r="I961" s="33"/>
    </row>
    <row r="962" spans="8:9" ht="14.25" customHeight="1" x14ac:dyDescent="0.25">
      <c r="H962" s="33"/>
      <c r="I962" s="33"/>
    </row>
    <row r="963" spans="8:9" ht="14.25" customHeight="1" x14ac:dyDescent="0.25">
      <c r="H963" s="33"/>
      <c r="I963" s="33"/>
    </row>
    <row r="964" spans="8:9" ht="14.25" customHeight="1" x14ac:dyDescent="0.25">
      <c r="H964" s="33"/>
      <c r="I964" s="33"/>
    </row>
    <row r="965" spans="8:9" ht="14.25" customHeight="1" x14ac:dyDescent="0.25">
      <c r="H965" s="33"/>
      <c r="I965" s="33"/>
    </row>
    <row r="966" spans="8:9" ht="14.25" customHeight="1" x14ac:dyDescent="0.25">
      <c r="H966" s="33"/>
      <c r="I966" s="33"/>
    </row>
    <row r="967" spans="8:9" ht="14.25" customHeight="1" x14ac:dyDescent="0.25">
      <c r="H967" s="33"/>
      <c r="I967" s="33"/>
    </row>
    <row r="968" spans="8:9" ht="14.25" customHeight="1" x14ac:dyDescent="0.25">
      <c r="H968" s="33"/>
      <c r="I968" s="33"/>
    </row>
    <row r="969" spans="8:9" ht="14.25" customHeight="1" x14ac:dyDescent="0.25">
      <c r="H969" s="33"/>
      <c r="I969" s="33"/>
    </row>
    <row r="970" spans="8:9" ht="14.25" customHeight="1" x14ac:dyDescent="0.25">
      <c r="H970" s="33"/>
      <c r="I970" s="33"/>
    </row>
    <row r="971" spans="8:9" ht="14.25" customHeight="1" x14ac:dyDescent="0.25">
      <c r="H971" s="33"/>
      <c r="I971" s="33"/>
    </row>
    <row r="972" spans="8:9" ht="14.25" customHeight="1" x14ac:dyDescent="0.25">
      <c r="H972" s="33"/>
      <c r="I972" s="33"/>
    </row>
    <row r="973" spans="8:9" ht="14.25" customHeight="1" x14ac:dyDescent="0.25">
      <c r="H973" s="33"/>
      <c r="I973" s="33"/>
    </row>
    <row r="974" spans="8:9" ht="14.25" customHeight="1" x14ac:dyDescent="0.25">
      <c r="H974" s="33"/>
      <c r="I974" s="33"/>
    </row>
    <row r="975" spans="8:9" ht="14.25" customHeight="1" x14ac:dyDescent="0.25">
      <c r="H975" s="33"/>
      <c r="I975" s="33"/>
    </row>
    <row r="976" spans="8:9" ht="14.25" customHeight="1" x14ac:dyDescent="0.25">
      <c r="H976" s="33"/>
      <c r="I976" s="33"/>
    </row>
    <row r="977" spans="8:9" ht="14.25" customHeight="1" x14ac:dyDescent="0.25">
      <c r="H977" s="33"/>
      <c r="I977" s="33"/>
    </row>
    <row r="978" spans="8:9" ht="14.25" customHeight="1" x14ac:dyDescent="0.25">
      <c r="H978" s="33"/>
      <c r="I978" s="33"/>
    </row>
    <row r="979" spans="8:9" ht="14.25" customHeight="1" x14ac:dyDescent="0.25">
      <c r="H979" s="33"/>
      <c r="I979" s="33"/>
    </row>
    <row r="980" spans="8:9" ht="14.25" customHeight="1" x14ac:dyDescent="0.25">
      <c r="H980" s="33"/>
      <c r="I980" s="33"/>
    </row>
    <row r="981" spans="8:9" ht="14.25" customHeight="1" x14ac:dyDescent="0.25">
      <c r="H981" s="33"/>
      <c r="I981" s="33"/>
    </row>
    <row r="982" spans="8:9" ht="14.25" customHeight="1" x14ac:dyDescent="0.25">
      <c r="H982" s="33"/>
      <c r="I982" s="33"/>
    </row>
    <row r="983" spans="8:9" ht="14.25" customHeight="1" x14ac:dyDescent="0.25">
      <c r="H983" s="33"/>
      <c r="I983" s="33"/>
    </row>
    <row r="984" spans="8:9" ht="14.25" customHeight="1" x14ac:dyDescent="0.25">
      <c r="H984" s="33"/>
      <c r="I984" s="33"/>
    </row>
    <row r="985" spans="8:9" ht="14.25" customHeight="1" x14ac:dyDescent="0.25">
      <c r="H985" s="33"/>
      <c r="I985" s="33"/>
    </row>
    <row r="986" spans="8:9" ht="14.25" customHeight="1" x14ac:dyDescent="0.25">
      <c r="H986" s="33"/>
      <c r="I986" s="33"/>
    </row>
    <row r="987" spans="8:9" ht="14.25" customHeight="1" x14ac:dyDescent="0.25">
      <c r="H987" s="33"/>
      <c r="I987" s="33"/>
    </row>
    <row r="988" spans="8:9" ht="14.25" customHeight="1" x14ac:dyDescent="0.25">
      <c r="H988" s="33"/>
      <c r="I988" s="33"/>
    </row>
    <row r="989" spans="8:9" ht="14.25" customHeight="1" x14ac:dyDescent="0.25">
      <c r="H989" s="33"/>
      <c r="I989" s="33"/>
    </row>
    <row r="990" spans="8:9" ht="14.25" customHeight="1" x14ac:dyDescent="0.25">
      <c r="H990" s="33"/>
      <c r="I990" s="33"/>
    </row>
    <row r="991" spans="8:9" ht="14.25" customHeight="1" x14ac:dyDescent="0.25">
      <c r="H991" s="33"/>
      <c r="I991" s="33"/>
    </row>
    <row r="992" spans="8:9" ht="14.25" customHeight="1" x14ac:dyDescent="0.25">
      <c r="H992" s="33"/>
      <c r="I992" s="33"/>
    </row>
    <row r="993" spans="8:9" ht="14.25" customHeight="1" x14ac:dyDescent="0.25">
      <c r="H993" s="33"/>
      <c r="I993" s="33"/>
    </row>
    <row r="994" spans="8:9" ht="14.25" customHeight="1" x14ac:dyDescent="0.25">
      <c r="H994" s="33"/>
      <c r="I994" s="33"/>
    </row>
    <row r="995" spans="8:9" ht="14.25" customHeight="1" x14ac:dyDescent="0.25">
      <c r="H995" s="33"/>
      <c r="I995" s="33"/>
    </row>
    <row r="996" spans="8:9" ht="14.25" customHeight="1" x14ac:dyDescent="0.25">
      <c r="H996" s="33"/>
      <c r="I996" s="33"/>
    </row>
    <row r="997" spans="8:9" ht="14.25" customHeight="1" x14ac:dyDescent="0.25">
      <c r="H997" s="33"/>
      <c r="I997" s="33"/>
    </row>
    <row r="998" spans="8:9" ht="14.25" customHeight="1" x14ac:dyDescent="0.25">
      <c r="H998" s="33"/>
      <c r="I998" s="33"/>
    </row>
    <row r="999" spans="8:9" ht="14.25" customHeight="1" x14ac:dyDescent="0.25">
      <c r="H999" s="33"/>
      <c r="I999" s="33"/>
    </row>
    <row r="1000" spans="8:9" ht="14.25" customHeight="1" x14ac:dyDescent="0.25">
      <c r="H1000" s="33"/>
      <c r="I100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Balachandran</dc:creator>
  <cp:lastModifiedBy>Balachandran</cp:lastModifiedBy>
  <dcterms:created xsi:type="dcterms:W3CDTF">2025-05-05T03:36:51Z</dcterms:created>
  <dcterms:modified xsi:type="dcterms:W3CDTF">2025-05-05T03:37:41Z</dcterms:modified>
</cp:coreProperties>
</file>